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nleitung" sheetId="1" state="visible" r:id="rId3"/>
    <sheet name="Rohdaten Creme" sheetId="2" state="visible" r:id="rId4"/>
    <sheet name="Häufigkeiten" sheetId="3" state="visible" r:id="rId5"/>
    <sheet name="Kennwerte" sheetId="4" state="visible" r:id="rId6"/>
    <sheet name="Signifikanz" sheetId="5" state="visible" r:id="rId7"/>
    <sheet name="Eigene Date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<sst xmlns="http://schemas.openxmlformats.org/spreadsheetml/2006/main" count="138" uniqueCount="81">
  <si>
    <t xml:space="preserve">Statistik-Kurs NWW an der KSK – Excel-Beispiele</t>
  </si>
  <si>
    <t xml:space="preserve">Diese Arbeitsmappe enthält die Creme-Daten aus dem Kurs, nachvollziehbare Kennwerte, Diagramme und eine Vorlage für das eigene Forschungsprojekt.</t>
  </si>
  <si>
    <t xml:space="preserve">Blatt</t>
  </si>
  <si>
    <t xml:space="preserve">Wofür es da ist</t>
  </si>
  <si>
    <t xml:space="preserve">Merksätze
• Zahlen von 1 bis 9 sind nicht automatisch metrisch. Bewertungen sind meist ordinal.
• α = 0,05 ist das Signifikanzniveau; dazu gehört ein Konfidenzniveau von 95 %.
• p &lt; α bedeutet: Das Ergebnis ist unter H₀ so ungewöhnlich, dass H₀ verworfen wird.
• Standardabweichungsbalken liefern nur eine grobe optische Abschätzung.
• Signifikant bedeutet nicht automatisch wichtig.</t>
  </si>
  <si>
    <t xml:space="preserve">Rohdaten Creme</t>
  </si>
  <si>
    <t xml:space="preserve">20 Einzelbewertungen pro Creme; diese Werte sind ordinal.</t>
  </si>
  <si>
    <t xml:space="preserve">Häufigkeiten</t>
  </si>
  <si>
    <t xml:space="preserve">Zählt jede Bewertung von 1 bis 9 und zeigt die Verteilung.</t>
  </si>
  <si>
    <t xml:space="preserve">Kennwerte</t>
  </si>
  <si>
    <t xml:space="preserve">Modalwert, Median, Mittelwert, Varianz und Standardabweichung.</t>
  </si>
  <si>
    <t xml:space="preserve">Signifikanz</t>
  </si>
  <si>
    <t xml:space="preserve">Konkrete p-Werte; unabhängige und gepaarte Daten unterscheiden.</t>
  </si>
  <si>
    <t xml:space="preserve">Eigene Daten</t>
  </si>
  <si>
    <t xml:space="preserve">Eigene Messwerte eintragen; Kennwerte berechnen sich automatisch.</t>
  </si>
  <si>
    <t xml:space="preserve">Quelle: bereitgestellte Kursunterlagen und Beispieltabellen. Die Testwerte dienen dem Lernen; die Wahl des Tests hängt immer von Datentyp und Versuchsplan ab.</t>
  </si>
  <si>
    <t xml:space="preserve">Rohdaten: Bewertungen der vier Cremes</t>
  </si>
  <si>
    <t xml:space="preserve">Person</t>
  </si>
  <si>
    <t xml:space="preserve">Creme 1</t>
  </si>
  <si>
    <t xml:space="preserve">Creme 2</t>
  </si>
  <si>
    <t xml:space="preserve">Creme 3</t>
  </si>
  <si>
    <t xml:space="preserve">Creme 4</t>
  </si>
  <si>
    <t xml:space="preserve">Hinweis</t>
  </si>
  <si>
    <t xml:space="preserve">Bewertung 1–9 = ordinal</t>
  </si>
  <si>
    <t xml:space="preserve">Häufigkeiten und Verteilungen</t>
  </si>
  <si>
    <t xml:space="preserve">Bewertung</t>
  </si>
  <si>
    <t xml:space="preserve">Höchste Häufigkeit</t>
  </si>
  <si>
    <t xml:space="preserve">Kennwerte der Creme-Bewertungen</t>
  </si>
  <si>
    <t xml:space="preserve">Kennwert</t>
  </si>
  <si>
    <t xml:space="preserve">Creme</t>
  </si>
  <si>
    <t xml:space="preserve">Mittelwert</t>
  </si>
  <si>
    <t xml:space="preserve">Standardabweichung</t>
  </si>
  <si>
    <t xml:space="preserve">n</t>
  </si>
  <si>
    <t xml:space="preserve">Modalwert (MODE.SNGL)</t>
  </si>
  <si>
    <t xml:space="preserve">Median</t>
  </si>
  <si>
    <t xml:space="preserve">Mittelwert*</t>
  </si>
  <si>
    <t xml:space="preserve">Varianz (Stichprobe)</t>
  </si>
  <si>
    <t xml:space="preserve">Standardabweichung (Stichprobe)</t>
  </si>
  <si>
    <t xml:space="preserve">Minimum</t>
  </si>
  <si>
    <t xml:space="preserve">Maximum</t>
  </si>
  <si>
    <t xml:space="preserve">*Die Bewertungen sind ordinal. Der Mittelwert wird hier nur zur Demonstration berechnet; für die inhaltliche Beschreibung sind Modalwert und Median geeigneter. Bei mehreren Modalwerten zeigt MODE.SNGL nur einen davon.</t>
  </si>
  <si>
    <t xml:space="preserve">Signifikanz: Beispiele mit konkreten p-Werten</t>
  </si>
  <si>
    <t xml:space="preserve">Vergleich</t>
  </si>
  <si>
    <t xml:space="preserve">Versuchsplan</t>
  </si>
  <si>
    <t xml:space="preserve">Test</t>
  </si>
  <si>
    <t xml:space="preserve">p-Wert</t>
  </si>
  <si>
    <t xml:space="preserve">bei α = 0,05</t>
  </si>
  <si>
    <t xml:space="preserve">Interpretation</t>
  </si>
  <si>
    <t xml:space="preserve">Creme 1 vs. 2</t>
  </si>
  <si>
    <t xml:space="preserve">unabhängige Gruppen</t>
  </si>
  <si>
    <t xml:space="preserve">Mann-Whitney-U</t>
  </si>
  <si>
    <t xml:space="preserve">nicht signifikant</t>
  </si>
  <si>
    <t xml:space="preserve">H₀ nicht verwerfen</t>
  </si>
  <si>
    <t xml:space="preserve">Creme 1 vs. 3</t>
  </si>
  <si>
    <t xml:space="preserve">Creme 1 vs. 4</t>
  </si>
  <si>
    <t xml:space="preserve">signifikant</t>
  </si>
  <si>
    <t xml:space="preserve">H₀ verwerfen</t>
  </si>
  <si>
    <t xml:space="preserve">Creme 2 vs. 4</t>
  </si>
  <si>
    <t xml:space="preserve">Creme 3 vs. 4</t>
  </si>
  <si>
    <t xml:space="preserve">dieselben Personen</t>
  </si>
  <si>
    <t xml:space="preserve">Wilcoxon</t>
  </si>
  <si>
    <t xml:space="preserve">α = 0,05 ist das Signifikanzniveau und entspricht einem Konfidenzniveau von 95 %. Ein Konfidenzintervall ist ein berechneter Wertebereich. Der p-Wert ist nicht die Wahrscheinlichkeit, dass H₀ wahr ist. Die p-Werte oben sind Lernbeispiele; ob Gruppen unabhängig oder gepaart sind, hängt vom tatsächlichen Versuchsplan ab.</t>
  </si>
  <si>
    <t xml:space="preserve">Vorlage: eigene Forschungsdaten</t>
  </si>
  <si>
    <t xml:space="preserve">ID</t>
  </si>
  <si>
    <t xml:space="preserve">Gruppe / Bedingung A</t>
  </si>
  <si>
    <t xml:space="preserve">Gruppe / Bedingung B</t>
  </si>
  <si>
    <t xml:space="preserve">Einheit</t>
  </si>
  <si>
    <t xml:space="preserve">Bemerkung</t>
  </si>
  <si>
    <t xml:space="preserve">A</t>
  </si>
  <si>
    <t xml:space="preserve">B</t>
  </si>
  <si>
    <t xml:space="preserve">Anzahl Werte</t>
  </si>
  <si>
    <t xml:space="preserve">Modalwert</t>
  </si>
  <si>
    <t xml:space="preserve">häufigster Wert</t>
  </si>
  <si>
    <t xml:space="preserve">robuste Mitte</t>
  </si>
  <si>
    <t xml:space="preserve">nur metrisch sinnvoll</t>
  </si>
  <si>
    <t xml:space="preserve">Varianz</t>
  </si>
  <si>
    <t xml:space="preserve">mittlere quadrierte Abweichung</t>
  </si>
  <si>
    <t xml:space="preserve">Wurzel der Varianz</t>
  </si>
  <si>
    <t xml:space="preserve">Spannweite</t>
  </si>
  <si>
    <t xml:space="preserve">Maximum − Minimum</t>
  </si>
  <si>
    <t xml:space="preserve">Vor der Auswertung klären:
1. Welche Datenart liegt vor?
2. Sind A und B unabhängig oder gepaart?
3. Wie gross ist n?
4. Bei metrischen Daten: Verteilung und Ausreisser anschauen.
5. Kennwerte, Diagramm und Test gemeinsam berichten.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</si>
</sst>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"/>
    <numFmt numFmtId="167" formatCode="0.0000"/>
  </numFmts>
  <fonts count="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12354A"/>
      <name val="Aptos"/>
      <family val="0"/>
      <charset val="1"/>
    </font>
    <font>
      <sz val="10"/>
      <color rgb="FF12354A"/>
      <name val="Aptos"/>
      <family val="0"/>
      <charset val="1"/>
    </font>
    <font>
      <i val="true"/>
      <sz val="10"/>
      <color rgb="FF12354A"/>
      <name val="Aptos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2354A"/>
        <bgColor rgb="FF333333"/>
      </patternFill>
    </fill>
    <fill>
      <patternFill patternType="solid">
        <fgColor rgb="FFEAF3F5"/>
        <bgColor rgb="FFFFF1E7"/>
      </patternFill>
    </fill>
    <fill>
      <patternFill patternType="solid">
        <fgColor rgb="FF13857D"/>
        <bgColor rgb="FF339966"/>
      </patternFill>
    </fill>
    <fill>
      <patternFill patternType="solid">
        <fgColor rgb="FFFFF1E7"/>
        <bgColor rgb="FFEAF3F5"/>
      </patternFill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2354A"/>
      </bottom>
      <diagonal/>
    </border>
    <border diagonalUp="false" diagonalDown="false">
      <left style="thin">
        <color rgb="FFCBD8DE"/>
      </left>
      <right/>
      <top style="thin">
        <color rgb="FFCBD8DE"/>
      </top>
      <bottom/>
      <diagonal/>
    </border>
    <border diagonalUp="false" diagonalDown="false">
      <left/>
      <right style="thin">
        <color rgb="FFCBD8DE"/>
      </right>
      <top style="thin">
        <color rgb="FFCBD8DE"/>
      </top>
      <bottom/>
      <diagonal/>
    </border>
    <border diagonalUp="false" diagonalDown="false">
      <left style="thin">
        <color rgb="FFCBD8DE"/>
      </left>
      <right/>
      <top/>
      <bottom/>
      <diagonal/>
    </border>
    <border diagonalUp="false" diagonalDown="false">
      <left/>
      <right style="thin">
        <color rgb="FFCBD8DE"/>
      </right>
      <top/>
      <bottom/>
      <diagonal/>
    </border>
    <border diagonalUp="false" diagonalDown="false">
      <left style="thin">
        <color rgb="FFCBD8DE"/>
      </left>
      <right/>
      <top/>
      <bottom style="thin">
        <color rgb="FFCBD8DE"/>
      </bottom>
      <diagonal/>
    </border>
    <border diagonalUp="false" diagonalDown="false">
      <left/>
      <right style="thin">
        <color rgb="FFCBD8DE"/>
      </right>
      <top/>
      <bottom style="thin">
        <color rgb="FFCBD8DE"/>
      </bottom>
      <diagonal/>
    </border>
    <border diagonalUp="false" diagonalDown="false">
      <left/>
      <right/>
      <top style="thin">
        <color rgb="FFCBD8DE"/>
      </top>
      <bottom/>
      <diagonal/>
    </border>
    <border diagonalUp="false" diagonalDown="false">
      <left/>
      <right/>
      <top/>
      <bottom style="thin">
        <color rgb="FFCBD8DE"/>
      </bottom>
      <diagonal/>
    </border>
    <border diagonalUp="false" diagonalDown="false">
      <left style="thin">
        <color rgb="FFCBD8DE"/>
      </left>
      <right/>
      <top style="thin">
        <color rgb="FFCBD8DE"/>
      </top>
      <bottom style="thin">
        <color rgb="FFCBD8DE"/>
      </bottom>
      <diagonal/>
    </border>
    <border diagonalUp="false" diagonalDown="false">
      <left/>
      <right/>
      <top style="thin">
        <color rgb="FFCBD8DE"/>
      </top>
      <bottom style="thin">
        <color rgb="FFCBD8DE"/>
      </bottom>
      <diagonal/>
    </border>
    <border diagonalUp="false" diagonalDown="false">
      <left/>
      <right style="thin">
        <color rgb="FFCBD8DE"/>
      </right>
      <top style="thin">
        <color rgb="FFCBD8DE"/>
      </top>
      <bottom style="thin">
        <color rgb="FFCBD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3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5" fillId="3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3857D"/>
          <bgColor rgb="FF000000"/>
        </patternFill>
      </fill>
    </dxf>
    <dxf>
      <fill>
        <patternFill patternType="solid">
          <fgColor rgb="FFEAF3F5"/>
          <bgColor rgb="FF000000"/>
        </patternFill>
      </fill>
    </dxf>
    <dxf>
      <fill>
        <patternFill patternType="solid">
          <fgColor rgb="FF12354A"/>
          <bgColor rgb="FF000000"/>
        </patternFill>
      </fill>
    </dxf>
  </dxfs>
  <colors>
    <indexedColors>
      <rgbColor rgb="FF000000"/>
      <rgbColor rgb="FFFFF1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3857D"/>
      <rgbColor rgb="FFCCCCCC"/>
      <rgbColor rgb="FF8B8B8B"/>
      <rgbColor rgb="FF9999FF"/>
      <rgbColor rgb="FF993366"/>
      <rgbColor rgb="FFFFFFCC"/>
      <rgbColor rgb="FFEAF3F5"/>
      <rgbColor rgb="FF660066"/>
      <rgbColor rgb="FFFF8080"/>
      <rgbColor rgb="FF0066CC"/>
      <rgbColor rgb="FFCBD8DE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235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  <a:ea typeface="Calibri"/>
              </a:rPr>
              <a:t>Creme 1: Häufigkeit der Bewertungen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"Creme 1"</c:f>
              <c:strCache>
                <c:ptCount val="1"/>
                <c:pt idx="0">
                  <c:v>Creme 1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Häufigkeiten!$U$4:$U$12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Häufigkeiten!$V$4:$V$12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</c:ser>
        <c:gapWidth val="150"/>
        <c:overlap val="0"/>
        <c:axId val="78348655"/>
        <c:axId val="17997067"/>
      </c:barChart>
      <c:catAx>
        <c:axId val="7834865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7997067"/>
        <c:crosses val="autoZero"/>
        <c:auto val="1"/>
        <c:lblAlgn val="ctr"/>
        <c:lblOffset val="100"/>
        <c:noMultiLvlLbl val="0"/>
      </c:catAx>
      <c:valAx>
        <c:axId val="17997067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83486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  <a:ea typeface="Calibri"/>
              </a:rPr>
              <a:t>Creme 2: Häufigkeit der Bewertungen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"Creme 2"</c:f>
              <c:strCache>
                <c:ptCount val="1"/>
                <c:pt idx="0">
                  <c:v>Creme 2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Häufigkeiten!$W$4:$W$12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Häufigkeiten!$X$4:$X$12</c:f>
              <c:numCache>
                <c:formatCode>General</c:formatCode>
                <c:ptCount val="9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1</c:v>
                </c:pt>
              </c:numCache>
            </c:numRef>
          </c:val>
        </c:ser>
        <c:gapWidth val="150"/>
        <c:overlap val="0"/>
        <c:axId val="54393742"/>
        <c:axId val="88438114"/>
      </c:barChart>
      <c:catAx>
        <c:axId val="5439374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8438114"/>
        <c:crosses val="autoZero"/>
        <c:auto val="1"/>
        <c:lblAlgn val="ctr"/>
        <c:lblOffset val="100"/>
        <c:noMultiLvlLbl val="0"/>
      </c:catAx>
      <c:valAx>
        <c:axId val="88438114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43937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  <a:ea typeface="Calibri"/>
              </a:rPr>
              <a:t>Creme 3: Häufigkeit der Bewertungen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"Creme 3"</c:f>
              <c:strCache>
                <c:ptCount val="1"/>
                <c:pt idx="0">
                  <c:v>Creme 3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Häufigkeiten!$Y$4:$Y$12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Häufigkeiten!$Z$4:$Z$12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</c:numCache>
            </c:numRef>
          </c:val>
        </c:ser>
        <c:gapWidth val="150"/>
        <c:overlap val="0"/>
        <c:axId val="90170432"/>
        <c:axId val="68292382"/>
      </c:barChart>
      <c:catAx>
        <c:axId val="9017043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8292382"/>
        <c:crosses val="autoZero"/>
        <c:auto val="1"/>
        <c:lblAlgn val="ctr"/>
        <c:lblOffset val="100"/>
        <c:noMultiLvlLbl val="0"/>
      </c:catAx>
      <c:valAx>
        <c:axId val="68292382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01704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  <a:ea typeface="Calibri"/>
              </a:rPr>
              <a:t>Creme 4: Häufigkeit der Bewertungen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"Creme 4"</c:f>
              <c:strCache>
                <c:ptCount val="1"/>
                <c:pt idx="0">
                  <c:v>Creme 4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Häufigkeiten!$AA$4:$AA$12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Häufigkeiten!$AB$4:$AB$12</c:f>
              <c:numCache>
                <c:formatCode>General</c:formatCode>
                <c:ptCount val="9"/>
                <c:pt idx="0">
                  <c:v>3</c:v>
                </c:pt>
                <c:pt idx="1">
                  <c:v>9</c:v>
                </c:pt>
                <c:pt idx="2">
                  <c:v>6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31436672"/>
        <c:axId val="56545694"/>
      </c:barChart>
      <c:catAx>
        <c:axId val="3143667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6545694"/>
        <c:crosses val="autoZero"/>
        <c:auto val="1"/>
        <c:lblAlgn val="ctr"/>
        <c:lblOffset val="100"/>
        <c:noMultiLvlLbl val="0"/>
      </c:catAx>
      <c:valAx>
        <c:axId val="56545694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14366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  <a:ea typeface="Calibri"/>
              </a:rPr>
              <a:t>Mittelwerte (nur Demonstration)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"Mittelwert"</c:f>
              <c:strCache>
                <c:ptCount val="1"/>
                <c:pt idx="0">
                  <c:v>Mittelwert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Kennwerte!$N$4:$N$7</c:f>
              <c:strCache>
                <c:ptCount val="4"/>
                <c:pt idx="0">
                  <c:v>Creme 1</c:v>
                </c:pt>
                <c:pt idx="1">
                  <c:v>Creme 2</c:v>
                </c:pt>
                <c:pt idx="2">
                  <c:v>Creme 3</c:v>
                </c:pt>
                <c:pt idx="3">
                  <c:v>Creme 4</c:v>
                </c:pt>
              </c:strCache>
            </c:strRef>
          </c:cat>
          <c:val>
            <c:numRef>
              <c:f>Kennwerte!$O$4:$O$7</c:f>
              <c:numCache>
                <c:formatCode>0.00</c:formatCode>
                <c:ptCount val="4"/>
                <c:pt idx="0">
                  <c:v>5.35</c:v>
                </c:pt>
                <c:pt idx="1">
                  <c:v>4.5</c:v>
                </c:pt>
                <c:pt idx="2">
                  <c:v>6.1</c:v>
                </c:pt>
                <c:pt idx="3">
                  <c:v>2.35</c:v>
                </c:pt>
              </c:numCache>
            </c:numRef>
          </c:val>
        </c:ser>
        <c:gapWidth val="150"/>
        <c:overlap val="0"/>
        <c:axId val="11063668"/>
        <c:axId val="70239468"/>
      </c:barChart>
      <c:catAx>
        <c:axId val="1106366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0239468"/>
        <c:crosses val="autoZero"/>
        <c:auto val="1"/>
        <c:lblAlgn val="ctr"/>
        <c:lblOffset val="100"/>
        <c:noMultiLvlLbl val="0"/>
      </c:catAx>
      <c:valAx>
        <c:axId val="70239468"/>
        <c:scaling>
          <c:orientation val="minMax"/>
          <c:max val="9"/>
          <c:min val="0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10636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  <a:ea typeface="Calibri"/>
              </a:rPr>
              <a:t>Standardabweichungen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"Standardabweichung"</c:f>
              <c:strCache>
                <c:ptCount val="1"/>
                <c:pt idx="0">
                  <c:v>Standardabweichung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Kennwerte!$Q$4:$Q$7</c:f>
              <c:strCache>
                <c:ptCount val="4"/>
                <c:pt idx="0">
                  <c:v>Creme 1</c:v>
                </c:pt>
                <c:pt idx="1">
                  <c:v>Creme 2</c:v>
                </c:pt>
                <c:pt idx="2">
                  <c:v>Creme 3</c:v>
                </c:pt>
                <c:pt idx="3">
                  <c:v>Creme 4</c:v>
                </c:pt>
              </c:strCache>
            </c:strRef>
          </c:cat>
          <c:val>
            <c:numRef>
              <c:f>Kennwerte!$R$4:$R$7</c:f>
              <c:numCache>
                <c:formatCode>0.00</c:formatCode>
                <c:ptCount val="4"/>
                <c:pt idx="0">
                  <c:v>2.18306882018965</c:v>
                </c:pt>
                <c:pt idx="1">
                  <c:v>2.9824045403173</c:v>
                </c:pt>
                <c:pt idx="2">
                  <c:v>2.02354561157026</c:v>
                </c:pt>
                <c:pt idx="3">
                  <c:v>0.875093979915421</c:v>
                </c:pt>
              </c:numCache>
            </c:numRef>
          </c:val>
        </c:ser>
        <c:gapWidth val="150"/>
        <c:overlap val="0"/>
        <c:axId val="85128648"/>
        <c:axId val="58045734"/>
      </c:barChart>
      <c:catAx>
        <c:axId val="8512864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8045734"/>
        <c:crosses val="autoZero"/>
        <c:auto val="1"/>
        <c:lblAlgn val="ctr"/>
        <c:lblOffset val="100"/>
        <c:noMultiLvlLbl val="0"/>
      </c:catAx>
      <c:valAx>
        <c:axId val="58045734"/>
        <c:scaling>
          <c:orientation val="minMax"/>
          <c:max val="4"/>
          <c:min val="0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51286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11</xdr:col>
      <xdr:colOff>618840</xdr:colOff>
      <xdr:row>15</xdr:row>
      <xdr:rowOff>39240</xdr:rowOff>
    </xdr:to>
    <xdr:graphicFrame>
      <xdr:nvGraphicFramePr>
        <xdr:cNvPr id="0" name="Chart 1"/>
        <xdr:cNvGraphicFramePr/>
      </xdr:nvGraphicFramePr>
      <xdr:xfrm>
        <a:off x="4848840" y="514440"/>
        <a:ext cx="3717720" cy="239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</xdr:row>
      <xdr:rowOff>0</xdr:rowOff>
    </xdr:from>
    <xdr:to>
      <xdr:col>18</xdr:col>
      <xdr:colOff>618840</xdr:colOff>
      <xdr:row>15</xdr:row>
      <xdr:rowOff>39240</xdr:rowOff>
    </xdr:to>
    <xdr:graphicFrame>
      <xdr:nvGraphicFramePr>
        <xdr:cNvPr id="1" name="Chart 2"/>
        <xdr:cNvGraphicFramePr/>
      </xdr:nvGraphicFramePr>
      <xdr:xfrm>
        <a:off x="9187200" y="514440"/>
        <a:ext cx="3717720" cy="239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16</xdr:row>
      <xdr:rowOff>40320</xdr:rowOff>
    </xdr:from>
    <xdr:to>
      <xdr:col>11</xdr:col>
      <xdr:colOff>618840</xdr:colOff>
      <xdr:row>29</xdr:row>
      <xdr:rowOff>39240</xdr:rowOff>
    </xdr:to>
    <xdr:graphicFrame>
      <xdr:nvGraphicFramePr>
        <xdr:cNvPr id="2" name="Chart 3"/>
        <xdr:cNvGraphicFramePr/>
      </xdr:nvGraphicFramePr>
      <xdr:xfrm>
        <a:off x="4848840" y="3078720"/>
        <a:ext cx="3717720" cy="222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0</xdr:colOff>
      <xdr:row>16</xdr:row>
      <xdr:rowOff>40320</xdr:rowOff>
    </xdr:from>
    <xdr:to>
      <xdr:col>18</xdr:col>
      <xdr:colOff>618840</xdr:colOff>
      <xdr:row>29</xdr:row>
      <xdr:rowOff>39240</xdr:rowOff>
    </xdr:to>
    <xdr:graphicFrame>
      <xdr:nvGraphicFramePr>
        <xdr:cNvPr id="3" name="Chart 4"/>
        <xdr:cNvGraphicFramePr/>
      </xdr:nvGraphicFramePr>
      <xdr:xfrm>
        <a:off x="9187200" y="3078720"/>
        <a:ext cx="3717720" cy="222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12</xdr:col>
      <xdr:colOff>618840</xdr:colOff>
      <xdr:row>14</xdr:row>
      <xdr:rowOff>170640</xdr:rowOff>
    </xdr:to>
    <xdr:graphicFrame>
      <xdr:nvGraphicFramePr>
        <xdr:cNvPr id="4" name="Chart 1"/>
        <xdr:cNvGraphicFramePr/>
      </xdr:nvGraphicFramePr>
      <xdr:xfrm>
        <a:off x="6822360" y="514440"/>
        <a:ext cx="4337640" cy="2228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16</xdr:row>
      <xdr:rowOff>0</xdr:rowOff>
    </xdr:from>
    <xdr:to>
      <xdr:col>12</xdr:col>
      <xdr:colOff>618840</xdr:colOff>
      <xdr:row>28</xdr:row>
      <xdr:rowOff>171000</xdr:rowOff>
    </xdr:to>
    <xdr:graphicFrame>
      <xdr:nvGraphicFramePr>
        <xdr:cNvPr id="5" name="Chart 2"/>
        <xdr:cNvGraphicFramePr/>
      </xdr:nvGraphicFramePr>
      <xdr:xfrm>
        <a:off x="6822360" y="2914560"/>
        <a:ext cx="4337640" cy="2228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remeRohdaten" displayName="CremeRohdaten" ref="A3:F23" headerRowCount="1" totalsRowCount="0" totalsRowShown="0">
  <tableColumns count="6">
    <tableColumn id="1" name="Person"/>
    <tableColumn id="2" name="Creme 1"/>
    <tableColumn id="3" name="Creme 2"/>
    <tableColumn id="4" name="Creme 3"/>
    <tableColumn id="5" name="Creme 4"/>
    <tableColumn id="6" name="Hinwei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0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48"/>
    <col collapsed="false" customWidth="true" hidden="false" outlineLevel="0" max="3" min="3" style="1" width="3"/>
    <col collapsed="false" customWidth="true" hidden="false" outlineLevel="0" max="9" min="4" style="1" width="13"/>
  </cols>
  <sheetData>
    <row r="1" customFormat="false" ht="27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33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5" t="s">
        <v>2</v>
      </c>
      <c r="B5" s="5" t="s">
        <v>3</v>
      </c>
      <c r="C5" s="3"/>
      <c r="D5" s="6" t="s">
        <v>4</v>
      </c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23.25" hidden="false" customHeight="true" outlineLevel="0" collapsed="false">
      <c r="A6" s="7" t="s">
        <v>5</v>
      </c>
      <c r="B6" s="8" t="s">
        <v>6</v>
      </c>
      <c r="C6" s="3"/>
      <c r="D6" s="6"/>
      <c r="E6" s="6"/>
      <c r="F6" s="6"/>
      <c r="G6" s="6"/>
      <c r="H6" s="6"/>
      <c r="I6" s="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23.25" hidden="false" customHeight="true" outlineLevel="0" collapsed="false">
      <c r="A7" s="9" t="s">
        <v>7</v>
      </c>
      <c r="B7" s="10" t="s">
        <v>8</v>
      </c>
      <c r="C7" s="3"/>
      <c r="D7" s="6"/>
      <c r="E7" s="6"/>
      <c r="F7" s="6"/>
      <c r="G7" s="6"/>
      <c r="H7" s="6"/>
      <c r="I7" s="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23.25" hidden="false" customHeight="true" outlineLevel="0" collapsed="false">
      <c r="A8" s="9" t="s">
        <v>9</v>
      </c>
      <c r="B8" s="10" t="s">
        <v>10</v>
      </c>
      <c r="C8" s="3"/>
      <c r="D8" s="6"/>
      <c r="E8" s="6"/>
      <c r="F8" s="6"/>
      <c r="G8" s="6"/>
      <c r="H8" s="6"/>
      <c r="I8" s="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23.25" hidden="false" customHeight="true" outlineLevel="0" collapsed="false">
      <c r="A9" s="9" t="s">
        <v>11</v>
      </c>
      <c r="B9" s="10" t="s">
        <v>12</v>
      </c>
      <c r="C9" s="3"/>
      <c r="D9" s="6"/>
      <c r="E9" s="6"/>
      <c r="F9" s="6"/>
      <c r="G9" s="6"/>
      <c r="H9" s="6"/>
      <c r="I9" s="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23.25" hidden="false" customHeight="true" outlineLevel="0" collapsed="false">
      <c r="A10" s="11" t="s">
        <v>13</v>
      </c>
      <c r="B10" s="12" t="s">
        <v>14</v>
      </c>
      <c r="C10" s="3"/>
      <c r="D10" s="6"/>
      <c r="E10" s="6"/>
      <c r="F10" s="6"/>
      <c r="G10" s="6"/>
      <c r="H10" s="6"/>
      <c r="I10" s="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13" t="s">
        <v>15</v>
      </c>
      <c r="B12" s="13"/>
      <c r="C12" s="13"/>
      <c r="D12" s="13"/>
      <c r="E12" s="13"/>
      <c r="F12" s="13"/>
      <c r="G12" s="13"/>
      <c r="H12" s="13"/>
      <c r="I12" s="1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13"/>
      <c r="B13" s="13"/>
      <c r="C13" s="13"/>
      <c r="D13" s="13"/>
      <c r="E13" s="13"/>
      <c r="F13" s="13"/>
      <c r="G13" s="13"/>
      <c r="H13" s="13"/>
      <c r="I13" s="1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3.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3.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3.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3.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3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3.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3.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</sheetData>
  <mergeCells count="4">
    <mergeCell ref="A1:I1"/>
    <mergeCell ref="A3:I3"/>
    <mergeCell ref="D5:I10"/>
    <mergeCell ref="A12:I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zeroHeight="false" outlineLevelRow="0" outlineLevelCol="0"/>
  <cols>
    <col collapsed="false" customWidth="true" hidden="false" outlineLevel="0" max="1" min="1" style="1" width="10"/>
    <col collapsed="false" customWidth="true" hidden="false" outlineLevel="0" max="5" min="2" style="1" width="13"/>
    <col collapsed="false" customWidth="true" hidden="false" outlineLevel="0" max="6" min="6" style="1" width="30"/>
  </cols>
  <sheetData>
    <row r="1" customFormat="false" ht="27" hidden="false" customHeight="true" outlineLevel="0" collapsed="false">
      <c r="A1" s="2" t="s">
        <v>16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5" t="s">
        <v>17</v>
      </c>
      <c r="B3" s="5" t="s">
        <v>18</v>
      </c>
      <c r="C3" s="5" t="s">
        <v>19</v>
      </c>
      <c r="D3" s="5" t="s">
        <v>20</v>
      </c>
      <c r="E3" s="5" t="s">
        <v>21</v>
      </c>
      <c r="F3" s="5" t="s">
        <v>22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14" t="n">
        <v>1</v>
      </c>
      <c r="B4" s="15" t="n">
        <v>1</v>
      </c>
      <c r="C4" s="15" t="n">
        <v>1</v>
      </c>
      <c r="D4" s="15" t="n">
        <v>2</v>
      </c>
      <c r="E4" s="15" t="n">
        <v>1</v>
      </c>
      <c r="F4" s="16" t="s">
        <v>23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17" t="n">
        <v>2</v>
      </c>
      <c r="B5" s="18" t="n">
        <v>3</v>
      </c>
      <c r="C5" s="18" t="n">
        <v>2</v>
      </c>
      <c r="D5" s="18" t="n">
        <v>3</v>
      </c>
      <c r="E5" s="18" t="n">
        <v>2</v>
      </c>
      <c r="F5" s="19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17" t="n">
        <v>3</v>
      </c>
      <c r="B6" s="18" t="n">
        <v>5</v>
      </c>
      <c r="C6" s="18" t="n">
        <v>3</v>
      </c>
      <c r="D6" s="18" t="n">
        <v>3</v>
      </c>
      <c r="E6" s="18" t="n">
        <v>3</v>
      </c>
      <c r="F6" s="19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17" t="n">
        <v>4</v>
      </c>
      <c r="B7" s="18" t="n">
        <v>6</v>
      </c>
      <c r="C7" s="18" t="n">
        <v>2</v>
      </c>
      <c r="D7" s="18" t="n">
        <v>4</v>
      </c>
      <c r="E7" s="18" t="n">
        <v>4</v>
      </c>
      <c r="F7" s="19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17" t="n">
        <v>5</v>
      </c>
      <c r="B8" s="18" t="n">
        <v>7</v>
      </c>
      <c r="C8" s="18" t="n">
        <v>4</v>
      </c>
      <c r="D8" s="18" t="n">
        <v>4</v>
      </c>
      <c r="E8" s="18" t="n">
        <v>3</v>
      </c>
      <c r="F8" s="19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17" t="n">
        <v>6</v>
      </c>
      <c r="B9" s="18" t="n">
        <v>8</v>
      </c>
      <c r="C9" s="18" t="n">
        <v>1</v>
      </c>
      <c r="D9" s="18" t="n">
        <v>5</v>
      </c>
      <c r="E9" s="18" t="n">
        <v>2</v>
      </c>
      <c r="F9" s="19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17" t="n">
        <v>7</v>
      </c>
      <c r="B10" s="18" t="n">
        <v>9</v>
      </c>
      <c r="C10" s="18" t="n">
        <v>2</v>
      </c>
      <c r="D10" s="18" t="n">
        <v>5</v>
      </c>
      <c r="E10" s="18" t="n">
        <v>1</v>
      </c>
      <c r="F10" s="19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17" t="n">
        <v>8</v>
      </c>
      <c r="B11" s="18" t="n">
        <v>8</v>
      </c>
      <c r="C11" s="18" t="n">
        <v>3</v>
      </c>
      <c r="D11" s="18" t="n">
        <v>6</v>
      </c>
      <c r="E11" s="18" t="n">
        <v>2</v>
      </c>
      <c r="F11" s="19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17" t="n">
        <v>9</v>
      </c>
      <c r="B12" s="18" t="n">
        <v>7</v>
      </c>
      <c r="C12" s="18" t="n">
        <v>2</v>
      </c>
      <c r="D12" s="18" t="n">
        <v>6</v>
      </c>
      <c r="E12" s="18" t="n">
        <v>2</v>
      </c>
      <c r="F12" s="19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17" t="n">
        <v>10</v>
      </c>
      <c r="B13" s="18" t="n">
        <v>6</v>
      </c>
      <c r="C13" s="18" t="n">
        <v>1</v>
      </c>
      <c r="D13" s="18" t="n">
        <v>7</v>
      </c>
      <c r="E13" s="18" t="n">
        <v>2</v>
      </c>
      <c r="F13" s="19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17" t="n">
        <v>11</v>
      </c>
      <c r="B14" s="18" t="n">
        <v>5</v>
      </c>
      <c r="C14" s="18" t="n">
        <v>7</v>
      </c>
      <c r="D14" s="18" t="n">
        <v>7</v>
      </c>
      <c r="E14" s="18" t="n">
        <v>3</v>
      </c>
      <c r="F14" s="19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17" t="n">
        <v>12</v>
      </c>
      <c r="B15" s="18" t="n">
        <v>2</v>
      </c>
      <c r="C15" s="18" t="n">
        <v>6</v>
      </c>
      <c r="D15" s="18" t="n">
        <v>7</v>
      </c>
      <c r="E15" s="18" t="n">
        <v>2</v>
      </c>
      <c r="F15" s="19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17" t="n">
        <v>13</v>
      </c>
      <c r="B16" s="18" t="n">
        <v>3</v>
      </c>
      <c r="C16" s="18" t="n">
        <v>8</v>
      </c>
      <c r="D16" s="18" t="n">
        <v>7</v>
      </c>
      <c r="E16" s="18" t="n">
        <v>3</v>
      </c>
      <c r="F16" s="19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17" t="n">
        <v>14</v>
      </c>
      <c r="B17" s="18" t="n">
        <v>2</v>
      </c>
      <c r="C17" s="18" t="n">
        <v>9</v>
      </c>
      <c r="D17" s="18" t="n">
        <v>7</v>
      </c>
      <c r="E17" s="18" t="n">
        <v>2</v>
      </c>
      <c r="F17" s="19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17" t="n">
        <v>15</v>
      </c>
      <c r="B18" s="18" t="n">
        <v>5</v>
      </c>
      <c r="C18" s="18" t="n">
        <v>8</v>
      </c>
      <c r="D18" s="18" t="n">
        <v>8</v>
      </c>
      <c r="E18" s="18" t="n">
        <v>3</v>
      </c>
      <c r="F18" s="19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17" t="n">
        <v>16</v>
      </c>
      <c r="B19" s="18" t="n">
        <v>6</v>
      </c>
      <c r="C19" s="18" t="n">
        <v>7</v>
      </c>
      <c r="D19" s="18" t="n">
        <v>8</v>
      </c>
      <c r="E19" s="18" t="n">
        <v>4</v>
      </c>
      <c r="F19" s="19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17" t="n">
        <v>17</v>
      </c>
      <c r="B20" s="18" t="n">
        <v>7</v>
      </c>
      <c r="C20" s="18" t="n">
        <v>8</v>
      </c>
      <c r="D20" s="18" t="n">
        <v>8</v>
      </c>
      <c r="E20" s="18" t="n">
        <v>1</v>
      </c>
      <c r="F20" s="19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17" t="n">
        <v>18</v>
      </c>
      <c r="B21" s="18" t="n">
        <v>5</v>
      </c>
      <c r="C21" s="18" t="n">
        <v>7</v>
      </c>
      <c r="D21" s="18" t="n">
        <v>8</v>
      </c>
      <c r="E21" s="18" t="n">
        <v>2</v>
      </c>
      <c r="F21" s="19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17" t="n">
        <v>19</v>
      </c>
      <c r="B22" s="18" t="n">
        <v>6</v>
      </c>
      <c r="C22" s="18" t="n">
        <v>8</v>
      </c>
      <c r="D22" s="18" t="n">
        <v>8</v>
      </c>
      <c r="E22" s="18" t="n">
        <v>3</v>
      </c>
      <c r="F22" s="19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20" t="n">
        <v>20</v>
      </c>
      <c r="B23" s="21" t="n">
        <v>6</v>
      </c>
      <c r="C23" s="21" t="n">
        <v>1</v>
      </c>
      <c r="D23" s="21" t="n">
        <v>9</v>
      </c>
      <c r="E23" s="21" t="n">
        <v>2</v>
      </c>
      <c r="F23" s="2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3.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3.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3.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3.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3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3.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3.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zeroHeight="false" outlineLevelRow="0" outlineLevelCol="0"/>
  <cols>
    <col collapsed="false" customWidth="true" hidden="false" outlineLevel="0" max="5" min="1" style="1" width="12"/>
  </cols>
  <sheetData>
    <row r="1" customFormat="false" ht="27" hidden="false" customHeight="true" outlineLevel="0" collapsed="false">
      <c r="A1" s="2" t="s">
        <v>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5" t="s">
        <v>25</v>
      </c>
      <c r="B3" s="5" t="s">
        <v>18</v>
      </c>
      <c r="C3" s="5" t="s">
        <v>19</v>
      </c>
      <c r="D3" s="5" t="s">
        <v>20</v>
      </c>
      <c r="E3" s="5" t="s">
        <v>21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 t="s">
        <v>25</v>
      </c>
      <c r="V3" s="3" t="s">
        <v>18</v>
      </c>
      <c r="W3" s="3" t="s">
        <v>25</v>
      </c>
      <c r="X3" s="3" t="s">
        <v>19</v>
      </c>
      <c r="Y3" s="3" t="s">
        <v>25</v>
      </c>
      <c r="Z3" s="3" t="s">
        <v>20</v>
      </c>
      <c r="AA3" s="1" t="s">
        <v>25</v>
      </c>
      <c r="AB3" s="1" t="s">
        <v>21</v>
      </c>
    </row>
    <row r="4" customFormat="false" ht="13.5" hidden="false" customHeight="true" outlineLevel="0" collapsed="false">
      <c r="A4" s="7" t="n">
        <v>1</v>
      </c>
      <c r="B4" s="23" t="n">
        <f aca="false">COUNTIF('Rohdaten Creme'!$B$4:$B$23,$A4)</f>
        <v>1</v>
      </c>
      <c r="C4" s="23" t="n">
        <f aca="false">COUNTIF('Rohdaten Creme'!$C$4:$C$23,$A4)</f>
        <v>4</v>
      </c>
      <c r="D4" s="23" t="n">
        <f aca="false">COUNTIF('Rohdaten Creme'!$D$4:$D$23,$A4)</f>
        <v>0</v>
      </c>
      <c r="E4" s="8" t="n">
        <f aca="false">COUNTIF('Rohdaten Creme'!$E$4:$E$23,$A4)</f>
        <v>3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 t="n">
        <f aca="false">A4</f>
        <v>1</v>
      </c>
      <c r="V4" s="3" t="n">
        <f aca="false">B4</f>
        <v>1</v>
      </c>
      <c r="W4" s="3" t="n">
        <f aca="false">A4</f>
        <v>1</v>
      </c>
      <c r="X4" s="3" t="n">
        <f aca="false">C4</f>
        <v>4</v>
      </c>
      <c r="Y4" s="3" t="n">
        <f aca="false">A4</f>
        <v>1</v>
      </c>
      <c r="Z4" s="3" t="n">
        <f aca="false">D4</f>
        <v>0</v>
      </c>
      <c r="AA4" s="1" t="n">
        <f aca="false">A4</f>
        <v>1</v>
      </c>
      <c r="AB4" s="1" t="n">
        <f aca="false">E4</f>
        <v>3</v>
      </c>
    </row>
    <row r="5" customFormat="false" ht="13.5" hidden="false" customHeight="true" outlineLevel="0" collapsed="false">
      <c r="A5" s="9" t="n">
        <v>2</v>
      </c>
      <c r="B5" s="24" t="n">
        <f aca="false">COUNTIF('Rohdaten Creme'!$B$4:$B$23,$A5)</f>
        <v>2</v>
      </c>
      <c r="C5" s="24" t="n">
        <f aca="false">COUNTIF('Rohdaten Creme'!$C$4:$C$23,$A5)</f>
        <v>4</v>
      </c>
      <c r="D5" s="24" t="n">
        <f aca="false">COUNTIF('Rohdaten Creme'!$D$4:$D$23,$A5)</f>
        <v>1</v>
      </c>
      <c r="E5" s="10" t="n">
        <f aca="false">COUNTIF('Rohdaten Creme'!$E$4:$E$23,$A5)</f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 t="n">
        <f aca="false">A5</f>
        <v>2</v>
      </c>
      <c r="V5" s="3" t="n">
        <f aca="false">B5</f>
        <v>2</v>
      </c>
      <c r="W5" s="3" t="n">
        <f aca="false">A5</f>
        <v>2</v>
      </c>
      <c r="X5" s="3" t="n">
        <f aca="false">C5</f>
        <v>4</v>
      </c>
      <c r="Y5" s="3" t="n">
        <f aca="false">A5</f>
        <v>2</v>
      </c>
      <c r="Z5" s="3" t="n">
        <f aca="false">D5</f>
        <v>1</v>
      </c>
      <c r="AA5" s="1" t="n">
        <f aca="false">A5</f>
        <v>2</v>
      </c>
      <c r="AB5" s="1" t="n">
        <f aca="false">E5</f>
        <v>9</v>
      </c>
    </row>
    <row r="6" customFormat="false" ht="13.5" hidden="false" customHeight="true" outlineLevel="0" collapsed="false">
      <c r="A6" s="9" t="n">
        <v>3</v>
      </c>
      <c r="B6" s="24" t="n">
        <f aca="false">COUNTIF('Rohdaten Creme'!$B$4:$B$23,$A6)</f>
        <v>2</v>
      </c>
      <c r="C6" s="24" t="n">
        <f aca="false">COUNTIF('Rohdaten Creme'!$C$4:$C$23,$A6)</f>
        <v>2</v>
      </c>
      <c r="D6" s="24" t="n">
        <f aca="false">COUNTIF('Rohdaten Creme'!$D$4:$D$23,$A6)</f>
        <v>2</v>
      </c>
      <c r="E6" s="10" t="n">
        <f aca="false">COUNTIF('Rohdaten Creme'!$E$4:$E$23,$A6)</f>
        <v>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n">
        <f aca="false">A6</f>
        <v>3</v>
      </c>
      <c r="V6" s="3" t="n">
        <f aca="false">B6</f>
        <v>2</v>
      </c>
      <c r="W6" s="3" t="n">
        <f aca="false">A6</f>
        <v>3</v>
      </c>
      <c r="X6" s="3" t="n">
        <f aca="false">C6</f>
        <v>2</v>
      </c>
      <c r="Y6" s="3" t="n">
        <f aca="false">A6</f>
        <v>3</v>
      </c>
      <c r="Z6" s="3" t="n">
        <f aca="false">D6</f>
        <v>2</v>
      </c>
      <c r="AA6" s="1" t="n">
        <f aca="false">A6</f>
        <v>3</v>
      </c>
      <c r="AB6" s="1" t="n">
        <f aca="false">E6</f>
        <v>6</v>
      </c>
    </row>
    <row r="7" customFormat="false" ht="13.5" hidden="false" customHeight="true" outlineLevel="0" collapsed="false">
      <c r="A7" s="9" t="n">
        <v>4</v>
      </c>
      <c r="B7" s="24" t="n">
        <f aca="false">COUNTIF('Rohdaten Creme'!$B$4:$B$23,$A7)</f>
        <v>0</v>
      </c>
      <c r="C7" s="24" t="n">
        <f aca="false">COUNTIF('Rohdaten Creme'!$C$4:$C$23,$A7)</f>
        <v>1</v>
      </c>
      <c r="D7" s="24" t="n">
        <f aca="false">COUNTIF('Rohdaten Creme'!$D$4:$D$23,$A7)</f>
        <v>2</v>
      </c>
      <c r="E7" s="10" t="n">
        <f aca="false">COUNTIF('Rohdaten Creme'!$E$4:$E$23,$A7)</f>
        <v>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 t="n">
        <f aca="false">A7</f>
        <v>4</v>
      </c>
      <c r="V7" s="3" t="n">
        <f aca="false">B7</f>
        <v>0</v>
      </c>
      <c r="W7" s="3" t="n">
        <f aca="false">A7</f>
        <v>4</v>
      </c>
      <c r="X7" s="3" t="n">
        <f aca="false">C7</f>
        <v>1</v>
      </c>
      <c r="Y7" s="3" t="n">
        <f aca="false">A7</f>
        <v>4</v>
      </c>
      <c r="Z7" s="3" t="n">
        <f aca="false">D7</f>
        <v>2</v>
      </c>
      <c r="AA7" s="1" t="n">
        <f aca="false">A7</f>
        <v>4</v>
      </c>
      <c r="AB7" s="1" t="n">
        <f aca="false">E7</f>
        <v>2</v>
      </c>
    </row>
    <row r="8" customFormat="false" ht="13.5" hidden="false" customHeight="true" outlineLevel="0" collapsed="false">
      <c r="A8" s="9" t="n">
        <v>5</v>
      </c>
      <c r="B8" s="24" t="n">
        <f aca="false">COUNTIF('Rohdaten Creme'!$B$4:$B$23,$A8)</f>
        <v>4</v>
      </c>
      <c r="C8" s="24" t="n">
        <f aca="false">COUNTIF('Rohdaten Creme'!$C$4:$C$23,$A8)</f>
        <v>0</v>
      </c>
      <c r="D8" s="24" t="n">
        <f aca="false">COUNTIF('Rohdaten Creme'!$D$4:$D$23,$A8)</f>
        <v>2</v>
      </c>
      <c r="E8" s="10" t="n">
        <f aca="false">COUNTIF('Rohdaten Creme'!$E$4:$E$23,$A8)</f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 t="n">
        <f aca="false">A8</f>
        <v>5</v>
      </c>
      <c r="V8" s="3" t="n">
        <f aca="false">B8</f>
        <v>4</v>
      </c>
      <c r="W8" s="3" t="n">
        <f aca="false">A8</f>
        <v>5</v>
      </c>
      <c r="X8" s="3" t="n">
        <f aca="false">C8</f>
        <v>0</v>
      </c>
      <c r="Y8" s="3" t="n">
        <f aca="false">A8</f>
        <v>5</v>
      </c>
      <c r="Z8" s="3" t="n">
        <f aca="false">D8</f>
        <v>2</v>
      </c>
      <c r="AA8" s="1" t="n">
        <f aca="false">A8</f>
        <v>5</v>
      </c>
      <c r="AB8" s="1" t="n">
        <f aca="false">E8</f>
        <v>0</v>
      </c>
    </row>
    <row r="9" customFormat="false" ht="13.5" hidden="false" customHeight="true" outlineLevel="0" collapsed="false">
      <c r="A9" s="9" t="n">
        <v>6</v>
      </c>
      <c r="B9" s="24" t="n">
        <f aca="false">COUNTIF('Rohdaten Creme'!$B$4:$B$23,$A9)</f>
        <v>5</v>
      </c>
      <c r="C9" s="24" t="n">
        <f aca="false">COUNTIF('Rohdaten Creme'!$C$4:$C$23,$A9)</f>
        <v>1</v>
      </c>
      <c r="D9" s="24" t="n">
        <f aca="false">COUNTIF('Rohdaten Creme'!$D$4:$D$23,$A9)</f>
        <v>2</v>
      </c>
      <c r="E9" s="10" t="n">
        <f aca="false">COUNTIF('Rohdaten Creme'!$E$4:$E$23,$A9)</f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 t="n">
        <f aca="false">A9</f>
        <v>6</v>
      </c>
      <c r="V9" s="3" t="n">
        <f aca="false">B9</f>
        <v>5</v>
      </c>
      <c r="W9" s="3" t="n">
        <f aca="false">A9</f>
        <v>6</v>
      </c>
      <c r="X9" s="3" t="n">
        <f aca="false">C9</f>
        <v>1</v>
      </c>
      <c r="Y9" s="3" t="n">
        <f aca="false">A9</f>
        <v>6</v>
      </c>
      <c r="Z9" s="3" t="n">
        <f aca="false">D9</f>
        <v>2</v>
      </c>
      <c r="AA9" s="1" t="n">
        <f aca="false">A9</f>
        <v>6</v>
      </c>
      <c r="AB9" s="1" t="n">
        <f aca="false">E9</f>
        <v>0</v>
      </c>
    </row>
    <row r="10" customFormat="false" ht="13.5" hidden="false" customHeight="true" outlineLevel="0" collapsed="false">
      <c r="A10" s="9" t="n">
        <v>7</v>
      </c>
      <c r="B10" s="24" t="n">
        <f aca="false">COUNTIF('Rohdaten Creme'!$B$4:$B$23,$A10)</f>
        <v>3</v>
      </c>
      <c r="C10" s="24" t="n">
        <f aca="false">COUNTIF('Rohdaten Creme'!$C$4:$C$23,$A10)</f>
        <v>3</v>
      </c>
      <c r="D10" s="24" t="n">
        <f aca="false">COUNTIF('Rohdaten Creme'!$D$4:$D$23,$A10)</f>
        <v>5</v>
      </c>
      <c r="E10" s="10" t="n">
        <f aca="false">COUNTIF('Rohdaten Creme'!$E$4:$E$23,$A10)</f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 t="n">
        <f aca="false">A10</f>
        <v>7</v>
      </c>
      <c r="V10" s="3" t="n">
        <f aca="false">B10</f>
        <v>3</v>
      </c>
      <c r="W10" s="3" t="n">
        <f aca="false">A10</f>
        <v>7</v>
      </c>
      <c r="X10" s="3" t="n">
        <f aca="false">C10</f>
        <v>3</v>
      </c>
      <c r="Y10" s="3" t="n">
        <f aca="false">A10</f>
        <v>7</v>
      </c>
      <c r="Z10" s="3" t="n">
        <f aca="false">D10</f>
        <v>5</v>
      </c>
      <c r="AA10" s="1" t="n">
        <f aca="false">A10</f>
        <v>7</v>
      </c>
      <c r="AB10" s="1" t="n">
        <f aca="false">E10</f>
        <v>0</v>
      </c>
    </row>
    <row r="11" customFormat="false" ht="13.5" hidden="false" customHeight="true" outlineLevel="0" collapsed="false">
      <c r="A11" s="9" t="n">
        <v>8</v>
      </c>
      <c r="B11" s="24" t="n">
        <f aca="false">COUNTIF('Rohdaten Creme'!$B$4:$B$23,$A11)</f>
        <v>2</v>
      </c>
      <c r="C11" s="24" t="n">
        <f aca="false">COUNTIF('Rohdaten Creme'!$C$4:$C$23,$A11)</f>
        <v>4</v>
      </c>
      <c r="D11" s="24" t="n">
        <f aca="false">COUNTIF('Rohdaten Creme'!$D$4:$D$23,$A11)</f>
        <v>5</v>
      </c>
      <c r="E11" s="10" t="n">
        <f aca="false">COUNTIF('Rohdaten Creme'!$E$4:$E$23,$A11)</f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 t="n">
        <f aca="false">A11</f>
        <v>8</v>
      </c>
      <c r="V11" s="3" t="n">
        <f aca="false">B11</f>
        <v>2</v>
      </c>
      <c r="W11" s="3" t="n">
        <f aca="false">A11</f>
        <v>8</v>
      </c>
      <c r="X11" s="3" t="n">
        <f aca="false">C11</f>
        <v>4</v>
      </c>
      <c r="Y11" s="3" t="n">
        <f aca="false">A11</f>
        <v>8</v>
      </c>
      <c r="Z11" s="3" t="n">
        <f aca="false">D11</f>
        <v>5</v>
      </c>
      <c r="AA11" s="1" t="n">
        <f aca="false">A11</f>
        <v>8</v>
      </c>
      <c r="AB11" s="1" t="n">
        <f aca="false">E11</f>
        <v>0</v>
      </c>
    </row>
    <row r="12" customFormat="false" ht="13.5" hidden="false" customHeight="true" outlineLevel="0" collapsed="false">
      <c r="A12" s="11" t="n">
        <v>9</v>
      </c>
      <c r="B12" s="25" t="n">
        <f aca="false">COUNTIF('Rohdaten Creme'!$B$4:$B$23,$A12)</f>
        <v>1</v>
      </c>
      <c r="C12" s="25" t="n">
        <f aca="false">COUNTIF('Rohdaten Creme'!$C$4:$C$23,$A12)</f>
        <v>1</v>
      </c>
      <c r="D12" s="25" t="n">
        <f aca="false">COUNTIF('Rohdaten Creme'!$D$4:$D$23,$A12)</f>
        <v>1</v>
      </c>
      <c r="E12" s="12" t="n">
        <f aca="false">COUNTIF('Rohdaten Creme'!$E$4:$E$23,$A12)</f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 t="n">
        <f aca="false">A12</f>
        <v>9</v>
      </c>
      <c r="V12" s="3" t="n">
        <f aca="false">B12</f>
        <v>1</v>
      </c>
      <c r="W12" s="3" t="n">
        <f aca="false">A12</f>
        <v>9</v>
      </c>
      <c r="X12" s="3" t="n">
        <f aca="false">C12</f>
        <v>1</v>
      </c>
      <c r="Y12" s="3" t="n">
        <f aca="false">A12</f>
        <v>9</v>
      </c>
      <c r="Z12" s="3" t="n">
        <f aca="false">D12</f>
        <v>1</v>
      </c>
      <c r="AA12" s="1" t="n">
        <f aca="false">A12</f>
        <v>9</v>
      </c>
      <c r="AB12" s="1" t="n">
        <f aca="false">E12</f>
        <v>0</v>
      </c>
    </row>
    <row r="13" customFormat="false" ht="13.5" hidden="false" customHeight="tru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5"/>
      <c r="B14" s="5" t="s">
        <v>18</v>
      </c>
      <c r="C14" s="5" t="s">
        <v>19</v>
      </c>
      <c r="D14" s="5" t="s">
        <v>20</v>
      </c>
      <c r="E14" s="5" t="s">
        <v>21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23.25" hidden="false" customHeight="true" outlineLevel="0" collapsed="false">
      <c r="A15" s="26" t="s">
        <v>26</v>
      </c>
      <c r="B15" s="27" t="n">
        <f aca="false">MAX(B4:B12)</f>
        <v>5</v>
      </c>
      <c r="C15" s="27" t="n">
        <f aca="false">MAX(C4:C12)</f>
        <v>4</v>
      </c>
      <c r="D15" s="27" t="n">
        <f aca="false">MAX(D4:D12)</f>
        <v>5</v>
      </c>
      <c r="E15" s="28" t="n">
        <f aca="false">MAX(E4:E12)</f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3.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3.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3.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3.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3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3.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3.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</sheetData>
  <mergeCells count="1">
    <mergeCell ref="A1:S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8.796875" defaultRowHeight="13.5" zeroHeight="false" outlineLevelRow="0" outlineLevelCol="0"/>
  <cols>
    <col collapsed="false" customWidth="true" hidden="false" outlineLevel="0" max="1" min="1" style="1" width="32"/>
    <col collapsed="false" customWidth="true" hidden="false" outlineLevel="0" max="5" min="2" style="1" width="14"/>
  </cols>
  <sheetData>
    <row r="1" customFormat="false" ht="27" hidden="false" customHeight="true" outlineLevel="0" collapsed="false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5" t="s">
        <v>28</v>
      </c>
      <c r="B3" s="5" t="s">
        <v>18</v>
      </c>
      <c r="C3" s="5" t="s">
        <v>19</v>
      </c>
      <c r="D3" s="5" t="s">
        <v>20</v>
      </c>
      <c r="E3" s="5" t="s">
        <v>21</v>
      </c>
      <c r="F3" s="3"/>
      <c r="G3" s="3"/>
      <c r="H3" s="3"/>
      <c r="I3" s="3"/>
      <c r="J3" s="3"/>
      <c r="K3" s="3"/>
      <c r="L3" s="3"/>
      <c r="M3" s="3"/>
      <c r="N3" s="3" t="s">
        <v>29</v>
      </c>
      <c r="O3" s="3" t="s">
        <v>30</v>
      </c>
      <c r="P3" s="3"/>
      <c r="Q3" s="3" t="s">
        <v>29</v>
      </c>
      <c r="R3" s="3" t="s">
        <v>31</v>
      </c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7" t="s">
        <v>32</v>
      </c>
      <c r="B4" s="23" t="n">
        <f aca="false">COUNT('Rohdaten Creme'!$B$4:$B$23)</f>
        <v>20</v>
      </c>
      <c r="C4" s="23" t="n">
        <f aca="false">COUNT('Rohdaten Creme'!$C$4:$C$23)</f>
        <v>20</v>
      </c>
      <c r="D4" s="23" t="n">
        <f aca="false">COUNT('Rohdaten Creme'!$D$4:$D$23)</f>
        <v>20</v>
      </c>
      <c r="E4" s="8" t="n">
        <f aca="false">COUNT('Rohdaten Creme'!$E$4:$E$23)</f>
        <v>20</v>
      </c>
      <c r="F4" s="3"/>
      <c r="G4" s="3"/>
      <c r="H4" s="3"/>
      <c r="I4" s="3"/>
      <c r="J4" s="3"/>
      <c r="K4" s="3"/>
      <c r="L4" s="3"/>
      <c r="M4" s="3"/>
      <c r="N4" s="3" t="s">
        <v>18</v>
      </c>
      <c r="O4" s="29" t="n">
        <f aca="false">B7</f>
        <v>5.35</v>
      </c>
      <c r="P4" s="3"/>
      <c r="Q4" s="3" t="s">
        <v>18</v>
      </c>
      <c r="R4" s="29" t="n">
        <f aca="false">B9</f>
        <v>2.18306882018965</v>
      </c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9" t="s">
        <v>33</v>
      </c>
      <c r="B5" s="24" t="n">
        <f aca="false">MODE('Rohdaten Creme'!$B$4:$B$23)</f>
        <v>6</v>
      </c>
      <c r="C5" s="24" t="n">
        <f aca="false">MODE('Rohdaten Creme'!$C$4:$C$23)</f>
        <v>1</v>
      </c>
      <c r="D5" s="24" t="n">
        <f aca="false">MODE('Rohdaten Creme'!$D$4:$D$23)</f>
        <v>7</v>
      </c>
      <c r="E5" s="10" t="n">
        <f aca="false">MODE('Rohdaten Creme'!$E$4:$E$23)</f>
        <v>2</v>
      </c>
      <c r="F5" s="3"/>
      <c r="G5" s="3"/>
      <c r="H5" s="3"/>
      <c r="I5" s="3"/>
      <c r="J5" s="3"/>
      <c r="K5" s="3"/>
      <c r="L5" s="3"/>
      <c r="M5" s="3"/>
      <c r="N5" s="3" t="s">
        <v>19</v>
      </c>
      <c r="O5" s="29" t="n">
        <f aca="false">C7</f>
        <v>4.5</v>
      </c>
      <c r="P5" s="3"/>
      <c r="Q5" s="3" t="s">
        <v>19</v>
      </c>
      <c r="R5" s="29" t="n">
        <f aca="false">C9</f>
        <v>2.9824045403173</v>
      </c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9" t="s">
        <v>34</v>
      </c>
      <c r="B6" s="24" t="n">
        <f aca="false">MEDIAN('Rohdaten Creme'!$B$4:$B$23)</f>
        <v>6</v>
      </c>
      <c r="C6" s="24" t="n">
        <f aca="false">MEDIAN('Rohdaten Creme'!$C$4:$C$23)</f>
        <v>3.5</v>
      </c>
      <c r="D6" s="24" t="n">
        <f aca="false">MEDIAN('Rohdaten Creme'!$D$4:$D$23)</f>
        <v>7</v>
      </c>
      <c r="E6" s="10" t="n">
        <f aca="false">MEDIAN('Rohdaten Creme'!$E$4:$E$23)</f>
        <v>2</v>
      </c>
      <c r="F6" s="3"/>
      <c r="G6" s="3"/>
      <c r="H6" s="3"/>
      <c r="I6" s="3"/>
      <c r="J6" s="3"/>
      <c r="K6" s="3"/>
      <c r="L6" s="3"/>
      <c r="M6" s="3"/>
      <c r="N6" s="3" t="s">
        <v>20</v>
      </c>
      <c r="O6" s="29" t="n">
        <f aca="false">D7</f>
        <v>6.1</v>
      </c>
      <c r="P6" s="3"/>
      <c r="Q6" s="3" t="s">
        <v>20</v>
      </c>
      <c r="R6" s="29" t="n">
        <f aca="false">D9</f>
        <v>2.02354561157026</v>
      </c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9" t="s">
        <v>35</v>
      </c>
      <c r="B7" s="30" t="n">
        <f aca="false">AVERAGE('Rohdaten Creme'!$B$4:$B$23)</f>
        <v>5.35</v>
      </c>
      <c r="C7" s="30" t="n">
        <f aca="false">AVERAGE('Rohdaten Creme'!$C$4:$C$23)</f>
        <v>4.5</v>
      </c>
      <c r="D7" s="30" t="n">
        <f aca="false">AVERAGE('Rohdaten Creme'!$D$4:$D$23)</f>
        <v>6.1</v>
      </c>
      <c r="E7" s="31" t="n">
        <f aca="false">AVERAGE('Rohdaten Creme'!$E$4:$E$23)</f>
        <v>2.35</v>
      </c>
      <c r="F7" s="3"/>
      <c r="G7" s="3"/>
      <c r="H7" s="3"/>
      <c r="I7" s="3"/>
      <c r="J7" s="3"/>
      <c r="K7" s="3"/>
      <c r="L7" s="3"/>
      <c r="M7" s="3"/>
      <c r="N7" s="3" t="s">
        <v>21</v>
      </c>
      <c r="O7" s="29" t="n">
        <f aca="false">E7</f>
        <v>2.35</v>
      </c>
      <c r="P7" s="3"/>
      <c r="Q7" s="3" t="s">
        <v>21</v>
      </c>
      <c r="R7" s="29" t="n">
        <f aca="false">E9</f>
        <v>0.875093979915421</v>
      </c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9" t="s">
        <v>36</v>
      </c>
      <c r="B8" s="30" t="n">
        <f aca="false">VAR('Rohdaten Creme'!$B$4:$B$23)</f>
        <v>4.76578947368421</v>
      </c>
      <c r="C8" s="30" t="n">
        <f aca="false">VAR('Rohdaten Creme'!$C$4:$C$23)</f>
        <v>8.89473684210526</v>
      </c>
      <c r="D8" s="30" t="n">
        <f aca="false">VAR('Rohdaten Creme'!$D$4:$D$23)</f>
        <v>4.09473684210526</v>
      </c>
      <c r="E8" s="31" t="n">
        <f aca="false">VAR('Rohdaten Creme'!$E$4:$E$23)</f>
        <v>0.765789473684211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9" t="s">
        <v>37</v>
      </c>
      <c r="B9" s="30" t="n">
        <f aca="false">STDEV('Rohdaten Creme'!$B$4:$B$23)</f>
        <v>2.18306882018965</v>
      </c>
      <c r="C9" s="30" t="n">
        <f aca="false">STDEV('Rohdaten Creme'!$C$4:$C$23)</f>
        <v>2.9824045403173</v>
      </c>
      <c r="D9" s="30" t="n">
        <f aca="false">STDEV('Rohdaten Creme'!$D$4:$D$23)</f>
        <v>2.02354561157026</v>
      </c>
      <c r="E9" s="31" t="n">
        <f aca="false">STDEV('Rohdaten Creme'!$E$4:$E$23)</f>
        <v>0.875093979915421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9" t="s">
        <v>38</v>
      </c>
      <c r="B10" s="24" t="n">
        <f aca="false">MIN('Rohdaten Creme'!$B$4:$B$23)</f>
        <v>1</v>
      </c>
      <c r="C10" s="24" t="n">
        <f aca="false">MIN('Rohdaten Creme'!$C$4:$C$23)</f>
        <v>1</v>
      </c>
      <c r="D10" s="24" t="n">
        <f aca="false">MIN('Rohdaten Creme'!$D$4:$D$23)</f>
        <v>2</v>
      </c>
      <c r="E10" s="10" t="n">
        <f aca="false">MIN('Rohdaten Creme'!$E$4:$E$23)</f>
        <v>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11" t="s">
        <v>39</v>
      </c>
      <c r="B11" s="25" t="n">
        <f aca="false">MAX('Rohdaten Creme'!$B$4:$B$23)</f>
        <v>9</v>
      </c>
      <c r="C11" s="25" t="n">
        <f aca="false">MAX('Rohdaten Creme'!$C$4:$C$23)</f>
        <v>9</v>
      </c>
      <c r="D11" s="25" t="n">
        <f aca="false">MAX('Rohdaten Creme'!$D$4:$D$23)</f>
        <v>9</v>
      </c>
      <c r="E11" s="12" t="n">
        <f aca="false">MAX('Rohdaten Creme'!$E$4:$E$23)</f>
        <v>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32" t="s">
        <v>40</v>
      </c>
      <c r="B13" s="32"/>
      <c r="C13" s="32"/>
      <c r="D13" s="32"/>
      <c r="E13" s="32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32"/>
      <c r="B14" s="32"/>
      <c r="C14" s="32"/>
      <c r="D14" s="32"/>
      <c r="E14" s="3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3.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3.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3.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3.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3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3.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3.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</sheetData>
  <mergeCells count="2">
    <mergeCell ref="A1:M1"/>
    <mergeCell ref="A13:E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5" min="4" style="1" width="16"/>
    <col collapsed="false" customWidth="true" hidden="false" outlineLevel="0" max="6" min="6" style="1" width="22"/>
  </cols>
  <sheetData>
    <row r="1" customFormat="false" ht="27" hidden="false" customHeight="true" outlineLevel="0" collapsed="false">
      <c r="A1" s="2" t="s">
        <v>41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5" t="s">
        <v>42</v>
      </c>
      <c r="B3" s="5" t="s">
        <v>43</v>
      </c>
      <c r="C3" s="5" t="s">
        <v>44</v>
      </c>
      <c r="D3" s="5" t="s">
        <v>45</v>
      </c>
      <c r="E3" s="5" t="s">
        <v>46</v>
      </c>
      <c r="F3" s="5" t="s">
        <v>47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7" t="s">
        <v>48</v>
      </c>
      <c r="B4" s="23" t="s">
        <v>49</v>
      </c>
      <c r="C4" s="23" t="s">
        <v>50</v>
      </c>
      <c r="D4" s="33" t="n">
        <v>0.4613</v>
      </c>
      <c r="E4" s="23" t="s">
        <v>51</v>
      </c>
      <c r="F4" s="8" t="s">
        <v>52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9" t="s">
        <v>53</v>
      </c>
      <c r="B5" s="24" t="s">
        <v>49</v>
      </c>
      <c r="C5" s="24" t="s">
        <v>50</v>
      </c>
      <c r="D5" s="34" t="n">
        <v>0.2338</v>
      </c>
      <c r="E5" s="24" t="s">
        <v>51</v>
      </c>
      <c r="F5" s="10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9" t="s">
        <v>54</v>
      </c>
      <c r="B6" s="24" t="s">
        <v>49</v>
      </c>
      <c r="C6" s="24" t="s">
        <v>50</v>
      </c>
      <c r="D6" s="34" t="n">
        <v>5.9E-005</v>
      </c>
      <c r="E6" s="24" t="s">
        <v>55</v>
      </c>
      <c r="F6" s="10" t="s">
        <v>56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9" t="s">
        <v>57</v>
      </c>
      <c r="B7" s="24" t="s">
        <v>49</v>
      </c>
      <c r="C7" s="24" t="s">
        <v>50</v>
      </c>
      <c r="D7" s="34" t="n">
        <v>0.0736</v>
      </c>
      <c r="E7" s="24" t="s">
        <v>51</v>
      </c>
      <c r="F7" s="10" t="s">
        <v>52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9" t="s">
        <v>58</v>
      </c>
      <c r="B8" s="24" t="s">
        <v>49</v>
      </c>
      <c r="C8" s="24" t="s">
        <v>50</v>
      </c>
      <c r="D8" s="34" t="n">
        <v>2E-006</v>
      </c>
      <c r="E8" s="24" t="s">
        <v>55</v>
      </c>
      <c r="F8" s="10" t="s">
        <v>56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9" t="s">
        <v>48</v>
      </c>
      <c r="B9" s="24" t="s">
        <v>59</v>
      </c>
      <c r="C9" s="24" t="s">
        <v>60</v>
      </c>
      <c r="D9" s="34" t="n">
        <v>0.3423</v>
      </c>
      <c r="E9" s="24" t="s">
        <v>51</v>
      </c>
      <c r="F9" s="10" t="s">
        <v>52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11" t="s">
        <v>54</v>
      </c>
      <c r="B10" s="25" t="s">
        <v>59</v>
      </c>
      <c r="C10" s="25" t="s">
        <v>60</v>
      </c>
      <c r="D10" s="35" t="n">
        <v>0.00041</v>
      </c>
      <c r="E10" s="25" t="s">
        <v>55</v>
      </c>
      <c r="F10" s="12" t="s">
        <v>56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6" t="s">
        <v>61</v>
      </c>
      <c r="B12" s="6"/>
      <c r="C12" s="6"/>
      <c r="D12" s="6"/>
      <c r="E12" s="6"/>
      <c r="F12" s="6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6"/>
      <c r="B13" s="6"/>
      <c r="C13" s="6"/>
      <c r="D13" s="6"/>
      <c r="E13" s="6"/>
      <c r="F13" s="6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6"/>
      <c r="B14" s="6"/>
      <c r="C14" s="6"/>
      <c r="D14" s="6"/>
      <c r="E14" s="6"/>
      <c r="F14" s="6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3.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3.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3.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3.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3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3.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3.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</sheetData>
  <mergeCells count="2">
    <mergeCell ref="A1:H1"/>
    <mergeCell ref="A12:F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20"/>
    <col collapsed="false" customWidth="true" hidden="false" outlineLevel="0" max="4" min="4" style="1" width="12"/>
    <col collapsed="false" customWidth="true" hidden="false" outlineLevel="0" max="5" min="5" style="1" width="24"/>
    <col collapsed="false" customWidth="true" hidden="false" outlineLevel="0" max="6" min="6" style="1" width="3"/>
    <col collapsed="false" customWidth="true" hidden="false" outlineLevel="0" max="7" min="7" style="1" width="27"/>
    <col collapsed="false" customWidth="true" hidden="false" outlineLevel="0" max="9" min="8" style="1" width="14"/>
    <col collapsed="false" customWidth="true" hidden="false" outlineLevel="0" max="10" min="10" style="1" width="28"/>
  </cols>
  <sheetData>
    <row r="1" customFormat="false" ht="27" hidden="false" customHeight="true" outlineLevel="0" collapsed="false">
      <c r="A1" s="2" t="s">
        <v>62</v>
      </c>
      <c r="B1" s="2"/>
      <c r="C1" s="2"/>
      <c r="D1" s="2"/>
      <c r="E1" s="2"/>
      <c r="F1" s="2"/>
      <c r="G1" s="2"/>
      <c r="H1" s="2"/>
      <c r="I1" s="2"/>
      <c r="J1" s="2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5" t="s">
        <v>63</v>
      </c>
      <c r="B3" s="5" t="s">
        <v>64</v>
      </c>
      <c r="C3" s="5" t="s">
        <v>65</v>
      </c>
      <c r="D3" s="5" t="s">
        <v>66</v>
      </c>
      <c r="E3" s="5" t="s">
        <v>67</v>
      </c>
      <c r="F3" s="3"/>
      <c r="G3" s="5" t="s">
        <v>28</v>
      </c>
      <c r="H3" s="5" t="s">
        <v>68</v>
      </c>
      <c r="I3" s="5" t="s">
        <v>69</v>
      </c>
      <c r="J3" s="5" t="s">
        <v>22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7" t="n">
        <v>1</v>
      </c>
      <c r="B4" s="23"/>
      <c r="C4" s="23"/>
      <c r="D4" s="23"/>
      <c r="E4" s="8"/>
      <c r="F4" s="3"/>
      <c r="G4" s="7" t="s">
        <v>32</v>
      </c>
      <c r="H4" s="23" t="str">
        <f aca="false">IF(COUNT($B$4:$B$33)=0,"",COUNT($B$4:$B$33))</f>
        <v/>
      </c>
      <c r="I4" s="23" t="str">
        <f aca="false">IF(COUNT($C$4:$C$33)=0,"",COUNT($C$4:$C$33))</f>
        <v/>
      </c>
      <c r="J4" s="8" t="s">
        <v>70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9" t="n">
        <v>2</v>
      </c>
      <c r="B5" s="24"/>
      <c r="C5" s="24"/>
      <c r="D5" s="24"/>
      <c r="E5" s="10"/>
      <c r="F5" s="3"/>
      <c r="G5" s="9" t="s">
        <v>71</v>
      </c>
      <c r="H5" s="24" t="str">
        <f aca="false">IF(COUNT($B$4:$B$33)=0,"",_xludf.mode.sngl($B$4:$B$33))</f>
        <v/>
      </c>
      <c r="I5" s="24" t="str">
        <f aca="false">IF(COUNT($C$4:$C$33)=0,"",_xludf.mode.sngl($C$4:$C$33))</f>
        <v/>
      </c>
      <c r="J5" s="10" t="s">
        <v>72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9" t="n">
        <v>3</v>
      </c>
      <c r="B6" s="24"/>
      <c r="C6" s="24"/>
      <c r="D6" s="24"/>
      <c r="E6" s="10"/>
      <c r="F6" s="3"/>
      <c r="G6" s="9" t="s">
        <v>34</v>
      </c>
      <c r="H6" s="24" t="str">
        <f aca="false">IF(COUNT($B$4:$B$33)=0,"",MEDIAN($B$4:$B$33))</f>
        <v/>
      </c>
      <c r="I6" s="24" t="str">
        <f aca="false">IF(COUNT($C$4:$C$33)=0,"",MEDIAN($C$4:$C$33))</f>
        <v/>
      </c>
      <c r="J6" s="10" t="s">
        <v>73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9" t="n">
        <v>4</v>
      </c>
      <c r="B7" s="24"/>
      <c r="C7" s="24"/>
      <c r="D7" s="24"/>
      <c r="E7" s="10"/>
      <c r="F7" s="3"/>
      <c r="G7" s="9" t="s">
        <v>30</v>
      </c>
      <c r="H7" s="30" t="str">
        <f aca="false">IF(COUNT($B$4:$B$33)=0,"",AVERAGE($B$4:$B$33))</f>
        <v/>
      </c>
      <c r="I7" s="30" t="str">
        <f aca="false">IF(COUNT($C$4:$C$33)=0,"",AVERAGE($C$4:$C$33))</f>
        <v/>
      </c>
      <c r="J7" s="10" t="s">
        <v>74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23.25" hidden="false" customHeight="true" outlineLevel="0" collapsed="false">
      <c r="A8" s="9" t="n">
        <v>5</v>
      </c>
      <c r="B8" s="24"/>
      <c r="C8" s="24"/>
      <c r="D8" s="24"/>
      <c r="E8" s="10"/>
      <c r="F8" s="3"/>
      <c r="G8" s="9" t="s">
        <v>75</v>
      </c>
      <c r="H8" s="30" t="str">
        <f aca="false">IF(COUNT($B$4:$B$33)=0,"",_xludf.var.s($B$4:$B$33))</f>
        <v/>
      </c>
      <c r="I8" s="30" t="str">
        <f aca="false">IF(COUNT($C$4:$C$33)=0,"",_xludf.var.s($C$4:$C$33))</f>
        <v/>
      </c>
      <c r="J8" s="10" t="s">
        <v>76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9" t="n">
        <v>6</v>
      </c>
      <c r="B9" s="24"/>
      <c r="C9" s="24"/>
      <c r="D9" s="24"/>
      <c r="E9" s="10"/>
      <c r="F9" s="3"/>
      <c r="G9" s="9" t="s">
        <v>31</v>
      </c>
      <c r="H9" s="30" t="str">
        <f aca="false">IF(COUNT($B$4:$B$33)=0,"",_xludf.stdev.s($B$4:$B$33))</f>
        <v/>
      </c>
      <c r="I9" s="30" t="str">
        <f aca="false">IF(COUNT($C$4:$C$33)=0,"",_xludf.stdev.s($C$4:$C$33))</f>
        <v/>
      </c>
      <c r="J9" s="10" t="s">
        <v>77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9" t="n">
        <v>7</v>
      </c>
      <c r="B10" s="24"/>
      <c r="C10" s="24"/>
      <c r="D10" s="24"/>
      <c r="E10" s="10"/>
      <c r="F10" s="3"/>
      <c r="G10" s="11" t="s">
        <v>78</v>
      </c>
      <c r="H10" s="25" t="str">
        <f aca="false">IF(COUNT($B$4:$B$33)=0,"",MAX($B$4:$B$33)-MIN($B$4:$B$33))</f>
        <v/>
      </c>
      <c r="I10" s="25" t="str">
        <f aca="false">IF(COUNT($C$4:$C$33)=0,"",MAX($C$4:$C$33)-MIN($C$4:$C$33))</f>
        <v/>
      </c>
      <c r="J10" s="12" t="s">
        <v>79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9" t="n">
        <v>8</v>
      </c>
      <c r="B11" s="24"/>
      <c r="C11" s="24"/>
      <c r="D11" s="24"/>
      <c r="E11" s="10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9" t="n">
        <v>9</v>
      </c>
      <c r="B12" s="24"/>
      <c r="C12" s="24"/>
      <c r="D12" s="24"/>
      <c r="E12" s="10"/>
      <c r="F12" s="3"/>
      <c r="G12" s="6" t="s">
        <v>80</v>
      </c>
      <c r="H12" s="6"/>
      <c r="I12" s="6"/>
      <c r="J12" s="6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9" t="n">
        <v>10</v>
      </c>
      <c r="B13" s="24"/>
      <c r="C13" s="24"/>
      <c r="D13" s="24"/>
      <c r="E13" s="10"/>
      <c r="F13" s="3"/>
      <c r="G13" s="6"/>
      <c r="H13" s="6"/>
      <c r="I13" s="6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9" t="n">
        <v>11</v>
      </c>
      <c r="B14" s="24"/>
      <c r="C14" s="24"/>
      <c r="D14" s="24"/>
      <c r="E14" s="10"/>
      <c r="F14" s="3"/>
      <c r="G14" s="6"/>
      <c r="H14" s="6"/>
      <c r="I14" s="6"/>
      <c r="J14" s="6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9" t="n">
        <v>12</v>
      </c>
      <c r="B15" s="24"/>
      <c r="C15" s="24"/>
      <c r="D15" s="24"/>
      <c r="E15" s="10"/>
      <c r="F15" s="3"/>
      <c r="G15" s="6"/>
      <c r="H15" s="6"/>
      <c r="I15" s="6"/>
      <c r="J15" s="6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9" t="n">
        <v>13</v>
      </c>
      <c r="B16" s="24"/>
      <c r="C16" s="24"/>
      <c r="D16" s="24"/>
      <c r="E16" s="10"/>
      <c r="F16" s="3"/>
      <c r="G16" s="6"/>
      <c r="H16" s="6"/>
      <c r="I16" s="6"/>
      <c r="J16" s="6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9" t="n">
        <v>14</v>
      </c>
      <c r="B17" s="24"/>
      <c r="C17" s="24"/>
      <c r="D17" s="24"/>
      <c r="E17" s="10"/>
      <c r="F17" s="3"/>
      <c r="G17" s="6"/>
      <c r="H17" s="6"/>
      <c r="I17" s="6"/>
      <c r="J17" s="6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3.5" hidden="false" customHeight="true" outlineLevel="0" collapsed="false">
      <c r="A18" s="9" t="n">
        <v>15</v>
      </c>
      <c r="B18" s="24"/>
      <c r="C18" s="24"/>
      <c r="D18" s="24"/>
      <c r="E18" s="10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9" t="n">
        <v>16</v>
      </c>
      <c r="B19" s="24"/>
      <c r="C19" s="24"/>
      <c r="D19" s="24"/>
      <c r="E19" s="10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9" t="n">
        <v>17</v>
      </c>
      <c r="B20" s="24"/>
      <c r="C20" s="24"/>
      <c r="D20" s="24"/>
      <c r="E20" s="10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9" t="n">
        <v>18</v>
      </c>
      <c r="B21" s="24"/>
      <c r="C21" s="24"/>
      <c r="D21" s="24"/>
      <c r="E21" s="10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9" t="n">
        <v>19</v>
      </c>
      <c r="B22" s="24"/>
      <c r="C22" s="24"/>
      <c r="D22" s="24"/>
      <c r="E22" s="10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9" t="n">
        <v>20</v>
      </c>
      <c r="B23" s="24"/>
      <c r="C23" s="24"/>
      <c r="D23" s="24"/>
      <c r="E23" s="10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9" t="n">
        <v>21</v>
      </c>
      <c r="B24" s="24"/>
      <c r="C24" s="24"/>
      <c r="D24" s="24"/>
      <c r="E24" s="10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3.5" hidden="false" customHeight="true" outlineLevel="0" collapsed="false">
      <c r="A25" s="9" t="n">
        <v>22</v>
      </c>
      <c r="B25" s="24"/>
      <c r="C25" s="24"/>
      <c r="D25" s="24"/>
      <c r="E25" s="10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3.5" hidden="false" customHeight="true" outlineLevel="0" collapsed="false">
      <c r="A26" s="9" t="n">
        <v>23</v>
      </c>
      <c r="B26" s="24"/>
      <c r="C26" s="24"/>
      <c r="D26" s="24"/>
      <c r="E26" s="10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9" t="n">
        <v>24</v>
      </c>
      <c r="B27" s="24"/>
      <c r="C27" s="24"/>
      <c r="D27" s="24"/>
      <c r="E27" s="10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9" t="n">
        <v>25</v>
      </c>
      <c r="B28" s="24"/>
      <c r="C28" s="24"/>
      <c r="D28" s="24"/>
      <c r="E28" s="10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9" t="n">
        <v>26</v>
      </c>
      <c r="B29" s="24"/>
      <c r="C29" s="24"/>
      <c r="D29" s="24"/>
      <c r="E29" s="10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9" t="n">
        <v>27</v>
      </c>
      <c r="B30" s="24"/>
      <c r="C30" s="24"/>
      <c r="D30" s="24"/>
      <c r="E30" s="10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9" t="n">
        <v>28</v>
      </c>
      <c r="B31" s="24"/>
      <c r="C31" s="24"/>
      <c r="D31" s="24"/>
      <c r="E31" s="10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9" t="n">
        <v>29</v>
      </c>
      <c r="B32" s="24"/>
      <c r="C32" s="24"/>
      <c r="D32" s="24"/>
      <c r="E32" s="10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11" t="n">
        <v>30</v>
      </c>
      <c r="B33" s="25"/>
      <c r="C33" s="25"/>
      <c r="D33" s="25"/>
      <c r="E33" s="12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3.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3.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3.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3.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3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3.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3.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</sheetData>
  <mergeCells count="2">
    <mergeCell ref="A1:J1"/>
    <mergeCell ref="G12:J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2026-09-08T12:03:48Z</dcterms:created>
  <dc:creator/>
  <dc:description/>
  <dc:language>en-US</dc:language>
  <cp:lastModifiedBy/>
  <dcterms:modified xsi:type="dcterms:W3CDTF">2026-09-08T12:03:53Z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