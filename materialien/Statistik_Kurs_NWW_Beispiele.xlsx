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htg-my.sharepoint.com/personal/sebastian_ehm_ksk_ch/Documents/Schule/KSK/KI an der Schule/KI Projekte/Statistik-Kurse/Statistik_Kurs_NWW_GitHub_Railway/materialien/"/>
    </mc:Choice>
  </mc:AlternateContent>
  <xr:revisionPtr revIDLastSave="0" documentId="11_7A22190A09C97C093A519EA23127DEA334BB8BE5" xr6:coauthVersionLast="47" xr6:coauthVersionMax="47" xr10:uidLastSave="{00000000-0000-0000-0000-000000000000}"/>
  <bookViews>
    <workbookView xWindow="276" yWindow="12" windowWidth="22764" windowHeight="11268" activeTab="3" xr2:uid="{00000000-000D-0000-FFFF-FFFF00000000}"/>
  </bookViews>
  <sheets>
    <sheet name="Anleitung" sheetId="1" r:id="rId1"/>
    <sheet name="Rohdaten Creme" sheetId="2" r:id="rId2"/>
    <sheet name="Häufigkeiten" sheetId="3" r:id="rId3"/>
    <sheet name="Kennwerte" sheetId="4" r:id="rId4"/>
    <sheet name="Signifikanz" sheetId="5" r:id="rId5"/>
    <sheet name="Eigene Date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E11" i="4"/>
  <c r="D11" i="4"/>
  <c r="C11" i="4"/>
  <c r="B11" i="4"/>
  <c r="E10" i="4"/>
  <c r="D10" i="4"/>
  <c r="C10" i="4"/>
  <c r="B10" i="4"/>
  <c r="E9" i="4"/>
  <c r="R7" i="4" s="1"/>
  <c r="D9" i="4"/>
  <c r="R6" i="4" s="1"/>
  <c r="C9" i="4"/>
  <c r="R5" i="4" s="1"/>
  <c r="B9" i="4"/>
  <c r="R4" i="4" s="1"/>
  <c r="E8" i="4"/>
  <c r="D8" i="4"/>
  <c r="C8" i="4"/>
  <c r="B8" i="4"/>
  <c r="E7" i="4"/>
  <c r="O7" i="4" s="1"/>
  <c r="D7" i="4"/>
  <c r="C7" i="4"/>
  <c r="O5" i="4" s="1"/>
  <c r="B7" i="4"/>
  <c r="O6" i="4"/>
  <c r="E6" i="4"/>
  <c r="D6" i="4"/>
  <c r="C6" i="4"/>
  <c r="B6" i="4"/>
  <c r="E5" i="4"/>
  <c r="D5" i="4"/>
  <c r="C5" i="4"/>
  <c r="O4" i="4"/>
  <c r="E4" i="4"/>
  <c r="D4" i="4"/>
  <c r="C4" i="4"/>
  <c r="B4" i="4"/>
  <c r="E15" i="3"/>
  <c r="D15" i="3"/>
  <c r="C15" i="3"/>
  <c r="B15" i="3"/>
  <c r="AB12" i="3"/>
  <c r="AA12" i="3"/>
  <c r="Y12" i="3"/>
  <c r="W12" i="3"/>
  <c r="U12" i="3"/>
  <c r="E12" i="3"/>
  <c r="D12" i="3"/>
  <c r="Z12" i="3" s="1"/>
  <c r="C12" i="3"/>
  <c r="X12" i="3" s="1"/>
  <c r="B12" i="3"/>
  <c r="V12" i="3" s="1"/>
  <c r="AA11" i="3"/>
  <c r="Y11" i="3"/>
  <c r="W11" i="3"/>
  <c r="U11" i="3"/>
  <c r="E11" i="3"/>
  <c r="AB11" i="3" s="1"/>
  <c r="D11" i="3"/>
  <c r="Z11" i="3" s="1"/>
  <c r="C11" i="3"/>
  <c r="X11" i="3" s="1"/>
  <c r="B11" i="3"/>
  <c r="V11" i="3" s="1"/>
  <c r="AA10" i="3"/>
  <c r="Y10" i="3"/>
  <c r="W10" i="3"/>
  <c r="U10" i="3"/>
  <c r="E10" i="3"/>
  <c r="AB10" i="3" s="1"/>
  <c r="D10" i="3"/>
  <c r="Z10" i="3" s="1"/>
  <c r="C10" i="3"/>
  <c r="X10" i="3" s="1"/>
  <c r="B10" i="3"/>
  <c r="V10" i="3" s="1"/>
  <c r="AB9" i="3"/>
  <c r="AA9" i="3"/>
  <c r="Z9" i="3"/>
  <c r="Y9" i="3"/>
  <c r="X9" i="3"/>
  <c r="W9" i="3"/>
  <c r="U9" i="3"/>
  <c r="E9" i="3"/>
  <c r="D9" i="3"/>
  <c r="C9" i="3"/>
  <c r="B9" i="3"/>
  <c r="V9" i="3" s="1"/>
  <c r="AA8" i="3"/>
  <c r="Y8" i="3"/>
  <c r="W8" i="3"/>
  <c r="U8" i="3"/>
  <c r="E8" i="3"/>
  <c r="AB8" i="3" s="1"/>
  <c r="D8" i="3"/>
  <c r="Z8" i="3" s="1"/>
  <c r="C8" i="3"/>
  <c r="X8" i="3" s="1"/>
  <c r="B8" i="3"/>
  <c r="V8" i="3" s="1"/>
  <c r="AA7" i="3"/>
  <c r="Y7" i="3"/>
  <c r="W7" i="3"/>
  <c r="U7" i="3"/>
  <c r="E7" i="3"/>
  <c r="AB7" i="3" s="1"/>
  <c r="D7" i="3"/>
  <c r="Z7" i="3" s="1"/>
  <c r="C7" i="3"/>
  <c r="X7" i="3" s="1"/>
  <c r="B7" i="3"/>
  <c r="V7" i="3" s="1"/>
  <c r="AA6" i="3"/>
  <c r="Y6" i="3"/>
  <c r="X6" i="3"/>
  <c r="W6" i="3"/>
  <c r="V6" i="3"/>
  <c r="U6" i="3"/>
  <c r="E6" i="3"/>
  <c r="AB6" i="3" s="1"/>
  <c r="D6" i="3"/>
  <c r="Z6" i="3" s="1"/>
  <c r="C6" i="3"/>
  <c r="B6" i="3"/>
  <c r="AA5" i="3"/>
  <c r="Y5" i="3"/>
  <c r="W5" i="3"/>
  <c r="U5" i="3"/>
  <c r="E5" i="3"/>
  <c r="AB5" i="3" s="1"/>
  <c r="D5" i="3"/>
  <c r="Z5" i="3" s="1"/>
  <c r="C5" i="3"/>
  <c r="X5" i="3" s="1"/>
  <c r="B5" i="3"/>
  <c r="V5" i="3" s="1"/>
  <c r="AA4" i="3"/>
  <c r="Y4" i="3"/>
  <c r="W4" i="3"/>
  <c r="U4" i="3"/>
  <c r="E4" i="3"/>
  <c r="AB4" i="3" s="1"/>
  <c r="D4" i="3"/>
  <c r="Z4" i="3" s="1"/>
  <c r="C4" i="3"/>
  <c r="X4" i="3" s="1"/>
  <c r="B4" i="3"/>
  <c r="V4" i="3" s="1"/>
</calcChain>
</file>

<file path=xl/sharedStrings.xml><?xml version="1.0" encoding="utf-8"?>
<sst xmlns="http://schemas.openxmlformats.org/spreadsheetml/2006/main" count="197" uniqueCount="81">
  <si>
    <t>Statistik-Kurs NWW an der KSK – Excel-Beispiele</t>
  </si>
  <si>
    <t>Diese Arbeitsmappe enthält die Creme-Daten aus dem Kurs, nachvollziehbare Kennwerte, Diagramme und eine Vorlage für das eigene Forschungsprojekt.</t>
  </si>
  <si>
    <t>Blatt</t>
  </si>
  <si>
    <t>Wofür es da ist</t>
  </si>
  <si>
    <t>Merksätze
• Zahlen von 1 bis 9 sind nicht automatisch metrisch. Bewertungen sind meist ordinal.
• α = 0,05 ist das Signifikanzniveau; dazu gehört ein Konfidenzniveau von 95 %.
• p &lt; α bedeutet: Das Ergebnis ist unter H₀ so ungewöhnlich, dass H₀ verworfen wird.
• Standardabweichungsbalken liefern nur eine grobe optische Abschätzung.
• Signifikant bedeutet nicht automatisch wichtig.</t>
  </si>
  <si>
    <t>Rohdaten Creme</t>
  </si>
  <si>
    <t>20 Einzelbewertungen pro Creme; diese Werte sind ordinal.</t>
  </si>
  <si>
    <t>Häufigkeiten</t>
  </si>
  <si>
    <t>Zählt jede Bewertung von 1 bis 9 und zeigt die Verteilung.</t>
  </si>
  <si>
    <t>Kennwerte</t>
  </si>
  <si>
    <t>Modalwert, Median, Mittelwert, Varianz und Standardabweichung.</t>
  </si>
  <si>
    <t>Signifikanz</t>
  </si>
  <si>
    <t>Konkrete p-Werte; unabhängige und gepaarte Daten unterscheiden.</t>
  </si>
  <si>
    <t>Eigene Daten</t>
  </si>
  <si>
    <t>Eigene Messwerte eintragen; Kennwerte berechnen sich automatisch.</t>
  </si>
  <si>
    <t>Quelle: bereitgestellte Kursunterlagen und Beispieltabellen. Die Testwerte dienen dem Lernen; die Wahl des Tests hängt immer von Datentyp und Versuchsplan ab.</t>
  </si>
  <si>
    <t>Rohdaten: Bewertungen der vier Cremes</t>
  </si>
  <si>
    <t>Person</t>
  </si>
  <si>
    <t>Creme 1</t>
  </si>
  <si>
    <t>Creme 2</t>
  </si>
  <si>
    <t>Creme 3</t>
  </si>
  <si>
    <t>Creme 4</t>
  </si>
  <si>
    <t>Hinweis</t>
  </si>
  <si>
    <t>Bewertung 1–9 = ordinal</t>
  </si>
  <si>
    <t>Häufigkeiten und Verteilungen</t>
  </si>
  <si>
    <t>Bewertung</t>
  </si>
  <si>
    <t>Höchste Häufigkeit</t>
  </si>
  <si>
    <t>Kennwerte der Creme-Bewertungen</t>
  </si>
  <si>
    <t>Kennwert</t>
  </si>
  <si>
    <t>Creme</t>
  </si>
  <si>
    <t>Mittelwert</t>
  </si>
  <si>
    <t>Standardabweichung</t>
  </si>
  <si>
    <t>n</t>
  </si>
  <si>
    <t>Modalwert (MODE.SNGL)</t>
  </si>
  <si>
    <t>Median</t>
  </si>
  <si>
    <t>Mittelwert*</t>
  </si>
  <si>
    <t>Varianz (Stichprobe)</t>
  </si>
  <si>
    <t>Standardabweichung (Stichprobe)</t>
  </si>
  <si>
    <t>Minimum</t>
  </si>
  <si>
    <t>Maximum</t>
  </si>
  <si>
    <t>*Die Bewertungen sind ordinal. Der Mittelwert wird hier nur zur Demonstration berechnet; für die inhaltliche Beschreibung sind Modalwert und Median geeigneter. Bei mehreren Modalwerten zeigt MODE.SNGL nur einen davon.</t>
  </si>
  <si>
    <t>Signifikanz: Beispiele mit konkreten p-Werten</t>
  </si>
  <si>
    <t>Vergleich</t>
  </si>
  <si>
    <t>Versuchsplan</t>
  </si>
  <si>
    <t>Test</t>
  </si>
  <si>
    <t>p-Wert</t>
  </si>
  <si>
    <t>bei α = 0,05</t>
  </si>
  <si>
    <t>Interpretation</t>
  </si>
  <si>
    <t>Creme 1 vs. 2</t>
  </si>
  <si>
    <t>unabhängige Gruppen</t>
  </si>
  <si>
    <t>Mann-Whitney-U</t>
  </si>
  <si>
    <t>nicht signifikant</t>
  </si>
  <si>
    <t>H₀ nicht verwerfen</t>
  </si>
  <si>
    <t>Creme 1 vs. 3</t>
  </si>
  <si>
    <t>Creme 1 vs. 4</t>
  </si>
  <si>
    <t>signifikant</t>
  </si>
  <si>
    <t>H₀ verwerfen</t>
  </si>
  <si>
    <t>Creme 2 vs. 4</t>
  </si>
  <si>
    <t>Creme 3 vs. 4</t>
  </si>
  <si>
    <t>dieselben Personen</t>
  </si>
  <si>
    <t>Wilcoxon</t>
  </si>
  <si>
    <t>α = 0,05 ist das Signifikanzniveau und entspricht einem Konfidenzniveau von 95 %. Ein Konfidenzintervall ist ein berechneter Wertebereich. Der p-Wert ist nicht die Wahrscheinlichkeit, dass H₀ wahr ist. Die p-Werte oben sind Lernbeispiele; ob Gruppen unabhängig oder gepaart sind, hängt vom tatsächlichen Versuchsplan ab.</t>
  </si>
  <si>
    <t>Vorlage: eigene Forschungsdaten</t>
  </si>
  <si>
    <t>ID</t>
  </si>
  <si>
    <t>Gruppe / Bedingung A</t>
  </si>
  <si>
    <t>Gruppe / Bedingung B</t>
  </si>
  <si>
    <t>Einheit</t>
  </si>
  <si>
    <t>Bemerkung</t>
  </si>
  <si>
    <t>A</t>
  </si>
  <si>
    <t>B</t>
  </si>
  <si>
    <t>Anzahl Werte</t>
  </si>
  <si>
    <t>Modalwert</t>
  </si>
  <si>
    <t>häufigster Wert</t>
  </si>
  <si>
    <t>robuste Mitte</t>
  </si>
  <si>
    <t>nur metrisch sinnvoll</t>
  </si>
  <si>
    <t>Varianz</t>
  </si>
  <si>
    <t>mittlere quadrierte Abweichung</t>
  </si>
  <si>
    <t>Wurzel der Varianz</t>
  </si>
  <si>
    <t>Spannweite</t>
  </si>
  <si>
    <t>Maximum − Minimum</t>
  </si>
  <si>
    <t>Vor der Auswertung klären:
1. Welche Datenart liegt vor?
2. Sind A und B unabhängig oder gepaart?
3. Wie gross ist n?
4. Bei metrischen Daten: Verteilung und Ausreisser anschauen.
5. Kennwerte, Diagramm und Test gemeinsam berichten.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</si>
</sst>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b/>
      <sz val="10"/>
      <color rgb="FF12354A"/>
      <name val="Aptos"/>
    </font>
    <font>
      <sz val="10"/>
      <color rgb="FF12354A"/>
      <name val="Aptos"/>
    </font>
    <font>
      <i/>
      <sz val="10"/>
      <color rgb="FF12354A"/>
      <name val="Aptos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54A"/>
      </patternFill>
    </fill>
    <fill>
      <patternFill patternType="solid">
        <fgColor rgb="FFEAF3F5"/>
      </patternFill>
    </fill>
    <fill>
      <patternFill patternType="solid">
        <fgColor rgb="FF13857D"/>
      </patternFill>
    </fill>
    <fill>
      <patternFill patternType="solid">
        <fgColor rgb="FFFFF1E7"/>
      </patternFill>
    </fill>
  </fills>
  <borders count="13">
    <border>
      <left/>
      <right/>
      <top/>
      <bottom/>
      <diagonal/>
    </border>
    <border>
      <left/>
      <right/>
      <top/>
      <bottom style="thin">
        <color rgb="FF12354A"/>
      </bottom>
      <diagonal/>
    </border>
    <border>
      <left style="thin">
        <color rgb="FFCBD8DE"/>
      </left>
      <right/>
      <top style="thin">
        <color rgb="FFCBD8DE"/>
      </top>
      <bottom/>
      <diagonal/>
    </border>
    <border>
      <left/>
      <right style="thin">
        <color rgb="FFCBD8DE"/>
      </right>
      <top style="thin">
        <color rgb="FFCBD8DE"/>
      </top>
      <bottom/>
      <diagonal/>
    </border>
    <border>
      <left style="thin">
        <color rgb="FFCBD8DE"/>
      </left>
      <right/>
      <top/>
      <bottom/>
      <diagonal/>
    </border>
    <border>
      <left/>
      <right style="thin">
        <color rgb="FFCBD8DE"/>
      </right>
      <top/>
      <bottom/>
      <diagonal/>
    </border>
    <border>
      <left style="thin">
        <color rgb="FFCBD8DE"/>
      </left>
      <right/>
      <top/>
      <bottom style="thin">
        <color rgb="FFCBD8DE"/>
      </bottom>
      <diagonal/>
    </border>
    <border>
      <left/>
      <right style="thin">
        <color rgb="FFCBD8DE"/>
      </right>
      <top/>
      <bottom style="thin">
        <color rgb="FFCBD8DE"/>
      </bottom>
      <diagonal/>
    </border>
    <border>
      <left/>
      <right/>
      <top style="thin">
        <color rgb="FFCBD8DE"/>
      </top>
      <bottom/>
      <diagonal/>
    </border>
    <border>
      <left/>
      <right/>
      <top/>
      <bottom style="thin">
        <color rgb="FFCBD8DE"/>
      </bottom>
      <diagonal/>
    </border>
    <border>
      <left style="thin">
        <color rgb="FFCBD8DE"/>
      </left>
      <right/>
      <top style="thin">
        <color rgb="FFCBD8DE"/>
      </top>
      <bottom style="thin">
        <color rgb="FFCBD8DE"/>
      </bottom>
      <diagonal/>
    </border>
    <border>
      <left/>
      <right/>
      <top style="thin">
        <color rgb="FFCBD8DE"/>
      </top>
      <bottom style="thin">
        <color rgb="FFCBD8DE"/>
      </bottom>
      <diagonal/>
    </border>
    <border>
      <left/>
      <right style="thin">
        <color rgb="FFCBD8DE"/>
      </right>
      <top style="thin">
        <color rgb="FFCBD8DE"/>
      </top>
      <bottom style="thin">
        <color rgb="FFCBD8DE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2" fillId="3" borderId="0" xfId="1" applyFont="1" applyFill="1" applyAlignment="1">
      <alignment vertical="center" wrapText="1"/>
    </xf>
    <xf numFmtId="0" fontId="1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3" borderId="2" xfId="1" applyFont="1" applyFill="1" applyBorder="1" applyAlignment="1">
      <alignment vertical="center" wrapText="1"/>
    </xf>
    <xf numFmtId="0" fontId="2" fillId="3" borderId="3" xfId="1" applyFont="1" applyFill="1" applyBorder="1" applyAlignment="1">
      <alignment vertical="center" wrapText="1"/>
    </xf>
    <xf numFmtId="0" fontId="2" fillId="3" borderId="4" xfId="1" applyFont="1" applyFill="1" applyBorder="1" applyAlignment="1">
      <alignment vertical="center" wrapText="1"/>
    </xf>
    <xf numFmtId="0" fontId="2" fillId="3" borderId="5" xfId="1" applyFont="1" applyFill="1" applyBorder="1" applyAlignment="1">
      <alignment vertical="center" wrapText="1"/>
    </xf>
    <xf numFmtId="0" fontId="2" fillId="3" borderId="6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vertical="center" wrapText="1"/>
    </xf>
    <xf numFmtId="0" fontId="2" fillId="3" borderId="9" xfId="1" applyFont="1" applyFill="1" applyBorder="1" applyAlignment="1">
      <alignment vertical="center" wrapText="1"/>
    </xf>
    <xf numFmtId="0" fontId="2" fillId="3" borderId="10" xfId="1" applyFont="1" applyFill="1" applyBorder="1" applyAlignment="1">
      <alignment vertical="center" wrapText="1"/>
    </xf>
    <xf numFmtId="0" fontId="2" fillId="3" borderId="11" xfId="1" applyFont="1" applyFill="1" applyBorder="1" applyAlignment="1">
      <alignment vertical="center" wrapText="1"/>
    </xf>
    <xf numFmtId="0" fontId="2" fillId="3" borderId="12" xfId="1" applyFont="1" applyFill="1" applyBorder="1" applyAlignment="1">
      <alignment vertical="center" wrapText="1"/>
    </xf>
    <xf numFmtId="2" fontId="2" fillId="3" borderId="0" xfId="1" applyNumberFormat="1" applyFont="1" applyFill="1" applyAlignment="1">
      <alignment vertical="center" wrapText="1"/>
    </xf>
    <xf numFmtId="2" fontId="2" fillId="3" borderId="5" xfId="1" applyNumberFormat="1" applyFont="1" applyFill="1" applyBorder="1" applyAlignment="1">
      <alignment vertical="center" wrapText="1"/>
    </xf>
    <xf numFmtId="164" fontId="2" fillId="3" borderId="8" xfId="1" applyNumberFormat="1" applyFont="1" applyFill="1" applyBorder="1" applyAlignment="1">
      <alignment vertical="center" wrapText="1"/>
    </xf>
    <xf numFmtId="164" fontId="2" fillId="3" borderId="0" xfId="1" applyNumberFormat="1" applyFont="1" applyFill="1" applyAlignment="1">
      <alignment vertical="center" wrapText="1"/>
    </xf>
    <xf numFmtId="164" fontId="2" fillId="3" borderId="9" xfId="1" applyNumberFormat="1" applyFont="1" applyFill="1" applyBorder="1" applyAlignment="1">
      <alignment vertical="center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2" fillId="5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5" borderId="0" xfId="1" applyFont="1" applyFill="1" applyAlignment="1">
      <alignment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CH"/>
              <a:t>Creme 1: Häufigkeit der Bewertungen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Creme 1</c:v>
          </c:tx>
          <c:invertIfNegative val="1"/>
          <c:cat>
            <c:numRef>
              <c:f>Häufigkeiten!$U$4:$U$12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Häufigkeiten!$V$4:$V$12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D-4378-9AAA-877102D70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CH"/>
              <a:t>Creme 2: Häufigkeit der Bewertungen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Creme 2</c:v>
          </c:tx>
          <c:invertIfNegative val="1"/>
          <c:cat>
            <c:numRef>
              <c:f>Häufigkeiten!$W$4:$W$12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Häufigkeiten!$X$4:$X$12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2-40F6-B612-C7AE94807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CH"/>
              <a:t>Creme 3: Häufigkeit der Bewertungen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Creme 3</c:v>
          </c:tx>
          <c:invertIfNegative val="1"/>
          <c:cat>
            <c:numRef>
              <c:f>Häufigkeiten!$Y$4:$Y$12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Häufigkeiten!$Z$4:$Z$12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2-4219-A41C-3E048433C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CH"/>
              <a:t>Creme 4: Häufigkeit der Bewertungen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Creme 4</c:v>
          </c:tx>
          <c:invertIfNegative val="1"/>
          <c:cat>
            <c:numRef>
              <c:f>Häufigkeiten!$AA$4:$AA$12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Häufigkeiten!$AB$4:$AB$12</c:f>
              <c:numCache>
                <c:formatCode>General</c:formatCode>
                <c:ptCount val="9"/>
                <c:pt idx="0">
                  <c:v>3</c:v>
                </c:pt>
                <c:pt idx="1">
                  <c:v>9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2-4904-8ACD-0A8663269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CH"/>
              <a:t>Mittelwerte (nur Demonstration)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Mittelwert</c:v>
          </c:tx>
          <c:invertIfNegative val="1"/>
          <c:cat>
            <c:strRef>
              <c:f>Kennwerte!$N$4:$N$7</c:f>
              <c:strCache>
                <c:ptCount val="4"/>
                <c:pt idx="0">
                  <c:v>Creme 1</c:v>
                </c:pt>
                <c:pt idx="1">
                  <c:v>Creme 2</c:v>
                </c:pt>
                <c:pt idx="2">
                  <c:v>Creme 3</c:v>
                </c:pt>
                <c:pt idx="3">
                  <c:v>Creme 4</c:v>
                </c:pt>
              </c:strCache>
            </c:strRef>
          </c:cat>
          <c:val>
            <c:numRef>
              <c:f>Kennwerte!$O$4:$O$7</c:f>
              <c:numCache>
                <c:formatCode>General</c:formatCode>
                <c:ptCount val="4"/>
                <c:pt idx="0">
                  <c:v>5.35</c:v>
                </c:pt>
                <c:pt idx="1">
                  <c:v>4.5</c:v>
                </c:pt>
                <c:pt idx="2">
                  <c:v>6.1</c:v>
                </c:pt>
                <c:pt idx="3">
                  <c:v>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0-49A2-9683-4D9B367CC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9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CH"/>
              <a:t>Standardabweichungen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Standardabweichung</c:v>
          </c:tx>
          <c:invertIfNegative val="1"/>
          <c:cat>
            <c:strRef>
              <c:f>Kennwerte!$Q$4:$Q$7</c:f>
              <c:strCache>
                <c:ptCount val="4"/>
                <c:pt idx="0">
                  <c:v>Creme 1</c:v>
                </c:pt>
                <c:pt idx="1">
                  <c:v>Creme 2</c:v>
                </c:pt>
                <c:pt idx="2">
                  <c:v>Creme 3</c:v>
                </c:pt>
                <c:pt idx="3">
                  <c:v>Creme 4</c:v>
                </c:pt>
              </c:strCache>
            </c:strRef>
          </c:cat>
          <c:val>
            <c:numRef>
              <c:f>Kennwerte!$R$4:$R$7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D-4F6E-8B51-963451E20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4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0</xdr:colOff>
      <xdr:row>15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19</xdr:col>
      <xdr:colOff>0</xdr:colOff>
      <xdr:row>29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emeRohdaten" displayName="CremeRohdaten" ref="A3:F23" totalsRowShown="0">
  <tableColumns count="6">
    <tableColumn id="1" xr3:uid="{00000000-0010-0000-0000-000001000000}" name="Person"/>
    <tableColumn id="2" xr3:uid="{00000000-0010-0000-0000-000002000000}" name="Creme 1"/>
    <tableColumn id="3" xr3:uid="{00000000-0010-0000-0000-000003000000}" name="Creme 2"/>
    <tableColumn id="4" xr3:uid="{00000000-0010-0000-0000-000004000000}" name="Creme 3"/>
    <tableColumn id="5" xr3:uid="{00000000-0010-0000-0000-000005000000}" name="Creme 4"/>
    <tableColumn id="6" xr3:uid="{00000000-0010-0000-0000-000006000000}" name="Hinw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topLeftCell="A5" workbookViewId="0">
      <selection sqref="A1:I1"/>
    </sheetView>
  </sheetViews>
  <sheetFormatPr baseColWidth="10" defaultColWidth="8.796875" defaultRowHeight="13.8"/>
  <cols>
    <col min="1" max="1" width="23" customWidth="1"/>
    <col min="2" max="2" width="48" customWidth="1"/>
    <col min="3" max="3" width="3" customWidth="1"/>
    <col min="4" max="9" width="13" customWidth="1"/>
  </cols>
  <sheetData>
    <row r="1" spans="1:26" ht="27.15" customHeight="1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3.6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" t="s">
        <v>2</v>
      </c>
      <c r="B5" s="2" t="s">
        <v>3</v>
      </c>
      <c r="C5" s="3"/>
      <c r="D5" s="31" t="s">
        <v>4</v>
      </c>
      <c r="E5" s="31"/>
      <c r="F5" s="31"/>
      <c r="G5" s="31"/>
      <c r="H5" s="31"/>
      <c r="I5" s="3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 t="s">
        <v>5</v>
      </c>
      <c r="B6" s="5" t="s">
        <v>6</v>
      </c>
      <c r="C6" s="3"/>
      <c r="D6" s="31"/>
      <c r="E6" s="31"/>
      <c r="F6" s="31"/>
      <c r="G6" s="31"/>
      <c r="H6" s="31"/>
      <c r="I6" s="3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6" t="s">
        <v>7</v>
      </c>
      <c r="B7" s="7" t="s">
        <v>8</v>
      </c>
      <c r="C7" s="3"/>
      <c r="D7" s="31"/>
      <c r="E7" s="31"/>
      <c r="F7" s="31"/>
      <c r="G7" s="31"/>
      <c r="H7" s="31"/>
      <c r="I7" s="3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.6">
      <c r="A8" s="6" t="s">
        <v>9</v>
      </c>
      <c r="B8" s="7" t="s">
        <v>10</v>
      </c>
      <c r="C8" s="3"/>
      <c r="D8" s="31"/>
      <c r="E8" s="31"/>
      <c r="F8" s="31"/>
      <c r="G8" s="31"/>
      <c r="H8" s="31"/>
      <c r="I8" s="3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.6">
      <c r="A9" s="6" t="s">
        <v>11</v>
      </c>
      <c r="B9" s="7" t="s">
        <v>12</v>
      </c>
      <c r="C9" s="3"/>
      <c r="D9" s="31"/>
      <c r="E9" s="31"/>
      <c r="F9" s="31"/>
      <c r="G9" s="31"/>
      <c r="H9" s="31"/>
      <c r="I9" s="3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.6">
      <c r="A10" s="8" t="s">
        <v>13</v>
      </c>
      <c r="B10" s="9" t="s">
        <v>14</v>
      </c>
      <c r="C10" s="3"/>
      <c r="D10" s="31"/>
      <c r="E10" s="31"/>
      <c r="F10" s="31"/>
      <c r="G10" s="31"/>
      <c r="H10" s="31"/>
      <c r="I10" s="3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2" t="s">
        <v>15</v>
      </c>
      <c r="B12" s="32"/>
      <c r="C12" s="32"/>
      <c r="D12" s="32"/>
      <c r="E12" s="32"/>
      <c r="F12" s="32"/>
      <c r="G12" s="32"/>
      <c r="H12" s="32"/>
      <c r="I12" s="3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2"/>
      <c r="B13" s="32"/>
      <c r="C13" s="32"/>
      <c r="D13" s="32"/>
      <c r="E13" s="32"/>
      <c r="F13" s="32"/>
      <c r="G13" s="32"/>
      <c r="H13" s="32"/>
      <c r="I13" s="3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</sheetData>
  <mergeCells count="4">
    <mergeCell ref="A1:I1"/>
    <mergeCell ref="A3:I3"/>
    <mergeCell ref="D5:I10"/>
    <mergeCell ref="A12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workbookViewId="0">
      <selection sqref="A1:F1"/>
    </sheetView>
  </sheetViews>
  <sheetFormatPr baseColWidth="10" defaultColWidth="8.796875" defaultRowHeight="13.8"/>
  <cols>
    <col min="1" max="1" width="10" customWidth="1"/>
    <col min="2" max="5" width="13" customWidth="1"/>
    <col min="6" max="6" width="30" customWidth="1"/>
  </cols>
  <sheetData>
    <row r="1" spans="1:26" ht="27.15" customHeight="1">
      <c r="A1" s="29" t="s">
        <v>16</v>
      </c>
      <c r="B1" s="29" t="s">
        <v>16</v>
      </c>
      <c r="C1" s="29" t="s">
        <v>16</v>
      </c>
      <c r="D1" s="29" t="s">
        <v>16</v>
      </c>
      <c r="E1" s="29" t="s">
        <v>16</v>
      </c>
      <c r="F1" s="29" t="s">
        <v>16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0">
        <v>1</v>
      </c>
      <c r="B4" s="11">
        <v>1</v>
      </c>
      <c r="C4" s="11">
        <v>1</v>
      </c>
      <c r="D4" s="11">
        <v>2</v>
      </c>
      <c r="E4" s="11">
        <v>1</v>
      </c>
      <c r="F4" s="12" t="s">
        <v>23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3">
        <v>2</v>
      </c>
      <c r="B5" s="14">
        <v>3</v>
      </c>
      <c r="C5" s="14">
        <v>2</v>
      </c>
      <c r="D5" s="14">
        <v>3</v>
      </c>
      <c r="E5" s="14">
        <v>2</v>
      </c>
      <c r="F5" s="1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3">
        <v>3</v>
      </c>
      <c r="B6" s="14">
        <v>5</v>
      </c>
      <c r="C6" s="14">
        <v>3</v>
      </c>
      <c r="D6" s="14">
        <v>3</v>
      </c>
      <c r="E6" s="14">
        <v>3</v>
      </c>
      <c r="F6" s="1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3">
        <v>4</v>
      </c>
      <c r="B7" s="14">
        <v>6</v>
      </c>
      <c r="C7" s="14">
        <v>2</v>
      </c>
      <c r="D7" s="14">
        <v>4</v>
      </c>
      <c r="E7" s="14">
        <v>4</v>
      </c>
      <c r="F7" s="1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3">
        <v>5</v>
      </c>
      <c r="B8" s="14">
        <v>7</v>
      </c>
      <c r="C8" s="14">
        <v>4</v>
      </c>
      <c r="D8" s="14">
        <v>4</v>
      </c>
      <c r="E8" s="14">
        <v>3</v>
      </c>
      <c r="F8" s="1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3">
        <v>6</v>
      </c>
      <c r="B9" s="14">
        <v>8</v>
      </c>
      <c r="C9" s="14">
        <v>1</v>
      </c>
      <c r="D9" s="14">
        <v>5</v>
      </c>
      <c r="E9" s="14">
        <v>2</v>
      </c>
      <c r="F9" s="1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3">
        <v>7</v>
      </c>
      <c r="B10" s="14">
        <v>9</v>
      </c>
      <c r="C10" s="14">
        <v>2</v>
      </c>
      <c r="D10" s="14">
        <v>5</v>
      </c>
      <c r="E10" s="14">
        <v>1</v>
      </c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3">
        <v>8</v>
      </c>
      <c r="B11" s="14">
        <v>8</v>
      </c>
      <c r="C11" s="14">
        <v>3</v>
      </c>
      <c r="D11" s="14">
        <v>6</v>
      </c>
      <c r="E11" s="14">
        <v>2</v>
      </c>
      <c r="F11" s="1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3">
        <v>9</v>
      </c>
      <c r="B12" s="14">
        <v>7</v>
      </c>
      <c r="C12" s="14">
        <v>2</v>
      </c>
      <c r="D12" s="14">
        <v>6</v>
      </c>
      <c r="E12" s="14">
        <v>2</v>
      </c>
      <c r="F12" s="1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3">
        <v>10</v>
      </c>
      <c r="B13" s="14">
        <v>6</v>
      </c>
      <c r="C13" s="14">
        <v>1</v>
      </c>
      <c r="D13" s="14">
        <v>7</v>
      </c>
      <c r="E13" s="14">
        <v>2</v>
      </c>
      <c r="F13" s="1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3">
        <v>11</v>
      </c>
      <c r="B14" s="14">
        <v>5</v>
      </c>
      <c r="C14" s="14">
        <v>7</v>
      </c>
      <c r="D14" s="14">
        <v>7</v>
      </c>
      <c r="E14" s="14">
        <v>3</v>
      </c>
      <c r="F14" s="1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3">
        <v>12</v>
      </c>
      <c r="B15" s="14">
        <v>2</v>
      </c>
      <c r="C15" s="14">
        <v>6</v>
      </c>
      <c r="D15" s="14">
        <v>7</v>
      </c>
      <c r="E15" s="14">
        <v>2</v>
      </c>
      <c r="F15" s="1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3">
        <v>13</v>
      </c>
      <c r="B16" s="14">
        <v>3</v>
      </c>
      <c r="C16" s="14">
        <v>8</v>
      </c>
      <c r="D16" s="14">
        <v>7</v>
      </c>
      <c r="E16" s="14">
        <v>3</v>
      </c>
      <c r="F16" s="1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3">
        <v>14</v>
      </c>
      <c r="B17" s="14">
        <v>2</v>
      </c>
      <c r="C17" s="14">
        <v>9</v>
      </c>
      <c r="D17" s="14">
        <v>7</v>
      </c>
      <c r="E17" s="14">
        <v>2</v>
      </c>
      <c r="F17" s="1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3">
        <v>15</v>
      </c>
      <c r="B18" s="14">
        <v>5</v>
      </c>
      <c r="C18" s="14">
        <v>8</v>
      </c>
      <c r="D18" s="14">
        <v>8</v>
      </c>
      <c r="E18" s="14">
        <v>3</v>
      </c>
      <c r="F18" s="1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3">
        <v>16</v>
      </c>
      <c r="B19" s="14">
        <v>6</v>
      </c>
      <c r="C19" s="14">
        <v>7</v>
      </c>
      <c r="D19" s="14">
        <v>8</v>
      </c>
      <c r="E19" s="14">
        <v>4</v>
      </c>
      <c r="F19" s="1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3">
        <v>17</v>
      </c>
      <c r="B20" s="14">
        <v>7</v>
      </c>
      <c r="C20" s="14">
        <v>8</v>
      </c>
      <c r="D20" s="14">
        <v>8</v>
      </c>
      <c r="E20" s="14">
        <v>1</v>
      </c>
      <c r="F20" s="1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3">
        <v>18</v>
      </c>
      <c r="B21" s="14">
        <v>5</v>
      </c>
      <c r="C21" s="14">
        <v>7</v>
      </c>
      <c r="D21" s="14">
        <v>8</v>
      </c>
      <c r="E21" s="14">
        <v>2</v>
      </c>
      <c r="F21" s="1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3">
        <v>19</v>
      </c>
      <c r="B22" s="14">
        <v>6</v>
      </c>
      <c r="C22" s="14">
        <v>8</v>
      </c>
      <c r="D22" s="14">
        <v>8</v>
      </c>
      <c r="E22" s="14">
        <v>3</v>
      </c>
      <c r="F22" s="1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6">
        <v>20</v>
      </c>
      <c r="B23" s="17">
        <v>6</v>
      </c>
      <c r="C23" s="17">
        <v>1</v>
      </c>
      <c r="D23" s="17">
        <v>9</v>
      </c>
      <c r="E23" s="17">
        <v>2</v>
      </c>
      <c r="F23" s="1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0"/>
  <sheetViews>
    <sheetView workbookViewId="0">
      <selection sqref="A1:S1"/>
    </sheetView>
  </sheetViews>
  <sheetFormatPr baseColWidth="10" defaultColWidth="8.796875" defaultRowHeight="13.8"/>
  <cols>
    <col min="1" max="5" width="12" customWidth="1"/>
  </cols>
  <sheetData>
    <row r="1" spans="1:28" ht="27.15" customHeight="1">
      <c r="A1" s="29" t="s">
        <v>24</v>
      </c>
      <c r="B1" s="29" t="s">
        <v>24</v>
      </c>
      <c r="C1" s="29" t="s">
        <v>24</v>
      </c>
      <c r="D1" s="29" t="s">
        <v>24</v>
      </c>
      <c r="E1" s="29" t="s">
        <v>24</v>
      </c>
      <c r="F1" s="29" t="s">
        <v>24</v>
      </c>
      <c r="G1" s="29" t="s">
        <v>24</v>
      </c>
      <c r="H1" s="29" t="s">
        <v>24</v>
      </c>
      <c r="I1" s="29" t="s">
        <v>24</v>
      </c>
      <c r="J1" s="29" t="s">
        <v>24</v>
      </c>
      <c r="K1" s="29" t="s">
        <v>24</v>
      </c>
      <c r="L1" s="29" t="s">
        <v>24</v>
      </c>
      <c r="M1" s="29" t="s">
        <v>24</v>
      </c>
      <c r="N1" s="29" t="s">
        <v>24</v>
      </c>
      <c r="O1" s="29" t="s">
        <v>24</v>
      </c>
      <c r="P1" s="29" t="s">
        <v>24</v>
      </c>
      <c r="Q1" s="29" t="s">
        <v>24</v>
      </c>
      <c r="R1" s="29" t="s">
        <v>24</v>
      </c>
      <c r="S1" s="29" t="s">
        <v>24</v>
      </c>
      <c r="T1" s="3"/>
      <c r="U1" s="3"/>
      <c r="V1" s="3"/>
      <c r="W1" s="3"/>
      <c r="X1" s="3"/>
      <c r="Y1" s="3"/>
      <c r="Z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8">
      <c r="A3" s="2" t="s">
        <v>25</v>
      </c>
      <c r="B3" s="2" t="s">
        <v>18</v>
      </c>
      <c r="C3" s="2" t="s">
        <v>19</v>
      </c>
      <c r="D3" s="2" t="s">
        <v>20</v>
      </c>
      <c r="E3" s="2" t="s">
        <v>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 t="s">
        <v>25</v>
      </c>
      <c r="V3" s="3" t="s">
        <v>18</v>
      </c>
      <c r="W3" s="3" t="s">
        <v>25</v>
      </c>
      <c r="X3" s="3" t="s">
        <v>19</v>
      </c>
      <c r="Y3" s="3" t="s">
        <v>25</v>
      </c>
      <c r="Z3" s="3" t="s">
        <v>20</v>
      </c>
      <c r="AA3" t="s">
        <v>25</v>
      </c>
      <c r="AB3" t="s">
        <v>21</v>
      </c>
    </row>
    <row r="4" spans="1:28">
      <c r="A4" s="4">
        <v>1</v>
      </c>
      <c r="B4" s="19">
        <f>COUNTIF('Rohdaten Creme'!$B$4:$B$23,$A4)</f>
        <v>1</v>
      </c>
      <c r="C4" s="19">
        <f>COUNTIF('Rohdaten Creme'!$C$4:$C$23,$A4)</f>
        <v>4</v>
      </c>
      <c r="D4" s="19">
        <f>COUNTIF('Rohdaten Creme'!$D$4:$D$23,$A4)</f>
        <v>0</v>
      </c>
      <c r="E4" s="5">
        <f>COUNTIF('Rohdaten Creme'!$E$4:$E$23,$A4)</f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f t="shared" ref="U4:U12" si="0">A4</f>
        <v>1</v>
      </c>
      <c r="V4" s="3">
        <f t="shared" ref="V4:V12" si="1">B4</f>
        <v>1</v>
      </c>
      <c r="W4" s="3">
        <f t="shared" ref="W4:W12" si="2">A4</f>
        <v>1</v>
      </c>
      <c r="X4" s="3">
        <f t="shared" ref="X4:X12" si="3">C4</f>
        <v>4</v>
      </c>
      <c r="Y4" s="3">
        <f t="shared" ref="Y4:Y12" si="4">A4</f>
        <v>1</v>
      </c>
      <c r="Z4" s="3">
        <f t="shared" ref="Z4:Z12" si="5">D4</f>
        <v>0</v>
      </c>
      <c r="AA4">
        <f t="shared" ref="AA4:AA12" si="6">A4</f>
        <v>1</v>
      </c>
      <c r="AB4">
        <f t="shared" ref="AB4:AB12" si="7">E4</f>
        <v>3</v>
      </c>
    </row>
    <row r="5" spans="1:28">
      <c r="A5" s="6">
        <v>2</v>
      </c>
      <c r="B5" s="1">
        <f>COUNTIF('Rohdaten Creme'!$B$4:$B$23,$A5)</f>
        <v>2</v>
      </c>
      <c r="C5" s="1">
        <f>COUNTIF('Rohdaten Creme'!$C$4:$C$23,$A5)</f>
        <v>4</v>
      </c>
      <c r="D5" s="1">
        <f>COUNTIF('Rohdaten Creme'!$D$4:$D$23,$A5)</f>
        <v>1</v>
      </c>
      <c r="E5" s="7">
        <f>COUNTIF('Rohdaten Creme'!$E$4:$E$23,$A5)</f>
        <v>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f t="shared" si="0"/>
        <v>2</v>
      </c>
      <c r="V5" s="3">
        <f t="shared" si="1"/>
        <v>2</v>
      </c>
      <c r="W5" s="3">
        <f t="shared" si="2"/>
        <v>2</v>
      </c>
      <c r="X5" s="3">
        <f t="shared" si="3"/>
        <v>4</v>
      </c>
      <c r="Y5" s="3">
        <f t="shared" si="4"/>
        <v>2</v>
      </c>
      <c r="Z5" s="3">
        <f t="shared" si="5"/>
        <v>1</v>
      </c>
      <c r="AA5">
        <f t="shared" si="6"/>
        <v>2</v>
      </c>
      <c r="AB5">
        <f t="shared" si="7"/>
        <v>9</v>
      </c>
    </row>
    <row r="6" spans="1:28">
      <c r="A6" s="6">
        <v>3</v>
      </c>
      <c r="B6" s="1">
        <f>COUNTIF('Rohdaten Creme'!$B$4:$B$23,$A6)</f>
        <v>2</v>
      </c>
      <c r="C6" s="1">
        <f>COUNTIF('Rohdaten Creme'!$C$4:$C$23,$A6)</f>
        <v>2</v>
      </c>
      <c r="D6" s="1">
        <f>COUNTIF('Rohdaten Creme'!$D$4:$D$23,$A6)</f>
        <v>2</v>
      </c>
      <c r="E6" s="7">
        <f>COUNTIF('Rohdaten Creme'!$E$4:$E$23,$A6)</f>
        <v>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f t="shared" si="0"/>
        <v>3</v>
      </c>
      <c r="V6" s="3">
        <f t="shared" si="1"/>
        <v>2</v>
      </c>
      <c r="W6" s="3">
        <f t="shared" si="2"/>
        <v>3</v>
      </c>
      <c r="X6" s="3">
        <f t="shared" si="3"/>
        <v>2</v>
      </c>
      <c r="Y6" s="3">
        <f t="shared" si="4"/>
        <v>3</v>
      </c>
      <c r="Z6" s="3">
        <f t="shared" si="5"/>
        <v>2</v>
      </c>
      <c r="AA6">
        <f t="shared" si="6"/>
        <v>3</v>
      </c>
      <c r="AB6">
        <f t="shared" si="7"/>
        <v>6</v>
      </c>
    </row>
    <row r="7" spans="1:28">
      <c r="A7" s="6">
        <v>4</v>
      </c>
      <c r="B7" s="1">
        <f>COUNTIF('Rohdaten Creme'!$B$4:$B$23,$A7)</f>
        <v>0</v>
      </c>
      <c r="C7" s="1">
        <f>COUNTIF('Rohdaten Creme'!$C$4:$C$23,$A7)</f>
        <v>1</v>
      </c>
      <c r="D7" s="1">
        <f>COUNTIF('Rohdaten Creme'!$D$4:$D$23,$A7)</f>
        <v>2</v>
      </c>
      <c r="E7" s="7">
        <f>COUNTIF('Rohdaten Creme'!$E$4:$E$23,$A7)</f>
        <v>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f t="shared" si="0"/>
        <v>4</v>
      </c>
      <c r="V7" s="3">
        <f t="shared" si="1"/>
        <v>0</v>
      </c>
      <c r="W7" s="3">
        <f t="shared" si="2"/>
        <v>4</v>
      </c>
      <c r="X7" s="3">
        <f t="shared" si="3"/>
        <v>1</v>
      </c>
      <c r="Y7" s="3">
        <f t="shared" si="4"/>
        <v>4</v>
      </c>
      <c r="Z7" s="3">
        <f t="shared" si="5"/>
        <v>2</v>
      </c>
      <c r="AA7">
        <f t="shared" si="6"/>
        <v>4</v>
      </c>
      <c r="AB7">
        <f t="shared" si="7"/>
        <v>2</v>
      </c>
    </row>
    <row r="8" spans="1:28">
      <c r="A8" s="6">
        <v>5</v>
      </c>
      <c r="B8" s="1">
        <f>COUNTIF('Rohdaten Creme'!$B$4:$B$23,$A8)</f>
        <v>4</v>
      </c>
      <c r="C8" s="1">
        <f>COUNTIF('Rohdaten Creme'!$C$4:$C$23,$A8)</f>
        <v>0</v>
      </c>
      <c r="D8" s="1">
        <f>COUNTIF('Rohdaten Creme'!$D$4:$D$23,$A8)</f>
        <v>2</v>
      </c>
      <c r="E8" s="7">
        <f>COUNTIF('Rohdaten Creme'!$E$4:$E$23,$A8)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f t="shared" si="0"/>
        <v>5</v>
      </c>
      <c r="V8" s="3">
        <f t="shared" si="1"/>
        <v>4</v>
      </c>
      <c r="W8" s="3">
        <f t="shared" si="2"/>
        <v>5</v>
      </c>
      <c r="X8" s="3">
        <f t="shared" si="3"/>
        <v>0</v>
      </c>
      <c r="Y8" s="3">
        <f t="shared" si="4"/>
        <v>5</v>
      </c>
      <c r="Z8" s="3">
        <f t="shared" si="5"/>
        <v>2</v>
      </c>
      <c r="AA8">
        <f t="shared" si="6"/>
        <v>5</v>
      </c>
      <c r="AB8">
        <f t="shared" si="7"/>
        <v>0</v>
      </c>
    </row>
    <row r="9" spans="1:28">
      <c r="A9" s="6">
        <v>6</v>
      </c>
      <c r="B9" s="1">
        <f>COUNTIF('Rohdaten Creme'!$B$4:$B$23,$A9)</f>
        <v>5</v>
      </c>
      <c r="C9" s="1">
        <f>COUNTIF('Rohdaten Creme'!$C$4:$C$23,$A9)</f>
        <v>1</v>
      </c>
      <c r="D9" s="1">
        <f>COUNTIF('Rohdaten Creme'!$D$4:$D$23,$A9)</f>
        <v>2</v>
      </c>
      <c r="E9" s="7">
        <f>COUNTIF('Rohdaten Creme'!$E$4:$E$23,$A9)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f t="shared" si="0"/>
        <v>6</v>
      </c>
      <c r="V9" s="3">
        <f t="shared" si="1"/>
        <v>5</v>
      </c>
      <c r="W9" s="3">
        <f t="shared" si="2"/>
        <v>6</v>
      </c>
      <c r="X9" s="3">
        <f t="shared" si="3"/>
        <v>1</v>
      </c>
      <c r="Y9" s="3">
        <f t="shared" si="4"/>
        <v>6</v>
      </c>
      <c r="Z9" s="3">
        <f t="shared" si="5"/>
        <v>2</v>
      </c>
      <c r="AA9">
        <f t="shared" si="6"/>
        <v>6</v>
      </c>
      <c r="AB9">
        <f t="shared" si="7"/>
        <v>0</v>
      </c>
    </row>
    <row r="10" spans="1:28">
      <c r="A10" s="6">
        <v>7</v>
      </c>
      <c r="B10" s="1">
        <f>COUNTIF('Rohdaten Creme'!$B$4:$B$23,$A10)</f>
        <v>3</v>
      </c>
      <c r="C10" s="1">
        <f>COUNTIF('Rohdaten Creme'!$C$4:$C$23,$A10)</f>
        <v>3</v>
      </c>
      <c r="D10" s="1">
        <f>COUNTIF('Rohdaten Creme'!$D$4:$D$23,$A10)</f>
        <v>5</v>
      </c>
      <c r="E10" s="7">
        <f>COUNTIF('Rohdaten Creme'!$E$4:$E$23,$A10)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f t="shared" si="0"/>
        <v>7</v>
      </c>
      <c r="V10" s="3">
        <f t="shared" si="1"/>
        <v>3</v>
      </c>
      <c r="W10" s="3">
        <f t="shared" si="2"/>
        <v>7</v>
      </c>
      <c r="X10" s="3">
        <f t="shared" si="3"/>
        <v>3</v>
      </c>
      <c r="Y10" s="3">
        <f t="shared" si="4"/>
        <v>7</v>
      </c>
      <c r="Z10" s="3">
        <f t="shared" si="5"/>
        <v>5</v>
      </c>
      <c r="AA10">
        <f t="shared" si="6"/>
        <v>7</v>
      </c>
      <c r="AB10">
        <f t="shared" si="7"/>
        <v>0</v>
      </c>
    </row>
    <row r="11" spans="1:28">
      <c r="A11" s="6">
        <v>8</v>
      </c>
      <c r="B11" s="1">
        <f>COUNTIF('Rohdaten Creme'!$B$4:$B$23,$A11)</f>
        <v>2</v>
      </c>
      <c r="C11" s="1">
        <f>COUNTIF('Rohdaten Creme'!$C$4:$C$23,$A11)</f>
        <v>4</v>
      </c>
      <c r="D11" s="1">
        <f>COUNTIF('Rohdaten Creme'!$D$4:$D$23,$A11)</f>
        <v>5</v>
      </c>
      <c r="E11" s="7">
        <f>COUNTIF('Rohdaten Creme'!$E$4:$E$23,$A11)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f t="shared" si="0"/>
        <v>8</v>
      </c>
      <c r="V11" s="3">
        <f t="shared" si="1"/>
        <v>2</v>
      </c>
      <c r="W11" s="3">
        <f t="shared" si="2"/>
        <v>8</v>
      </c>
      <c r="X11" s="3">
        <f t="shared" si="3"/>
        <v>4</v>
      </c>
      <c r="Y11" s="3">
        <f t="shared" si="4"/>
        <v>8</v>
      </c>
      <c r="Z11" s="3">
        <f t="shared" si="5"/>
        <v>5</v>
      </c>
      <c r="AA11">
        <f t="shared" si="6"/>
        <v>8</v>
      </c>
      <c r="AB11">
        <f t="shared" si="7"/>
        <v>0</v>
      </c>
    </row>
    <row r="12" spans="1:28">
      <c r="A12" s="8">
        <v>9</v>
      </c>
      <c r="B12" s="20">
        <f>COUNTIF('Rohdaten Creme'!$B$4:$B$23,$A12)</f>
        <v>1</v>
      </c>
      <c r="C12" s="20">
        <f>COUNTIF('Rohdaten Creme'!$C$4:$C$23,$A12)</f>
        <v>1</v>
      </c>
      <c r="D12" s="20">
        <f>COUNTIF('Rohdaten Creme'!$D$4:$D$23,$A12)</f>
        <v>1</v>
      </c>
      <c r="E12" s="9">
        <f>COUNTIF('Rohdaten Creme'!$E$4:$E$23,$A12)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f t="shared" si="0"/>
        <v>9</v>
      </c>
      <c r="V12" s="3">
        <f t="shared" si="1"/>
        <v>1</v>
      </c>
      <c r="W12" s="3">
        <f t="shared" si="2"/>
        <v>9</v>
      </c>
      <c r="X12" s="3">
        <f t="shared" si="3"/>
        <v>1</v>
      </c>
      <c r="Y12" s="3">
        <f t="shared" si="4"/>
        <v>9</v>
      </c>
      <c r="Z12" s="3">
        <f t="shared" si="5"/>
        <v>1</v>
      </c>
      <c r="AA12">
        <f t="shared" si="6"/>
        <v>9</v>
      </c>
      <c r="AB12">
        <f t="shared" si="7"/>
        <v>0</v>
      </c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8">
      <c r="A14" s="2"/>
      <c r="B14" s="2" t="s">
        <v>18</v>
      </c>
      <c r="C14" s="2" t="s">
        <v>19</v>
      </c>
      <c r="D14" s="2" t="s">
        <v>20</v>
      </c>
      <c r="E14" s="2" t="s">
        <v>21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8" ht="27.6">
      <c r="A15" s="21" t="s">
        <v>26</v>
      </c>
      <c r="B15" s="22">
        <f>MAX(B4:B12)</f>
        <v>5</v>
      </c>
      <c r="C15" s="22">
        <f>MAX(C4:C12)</f>
        <v>4</v>
      </c>
      <c r="D15" s="22">
        <f>MAX(D4:D12)</f>
        <v>5</v>
      </c>
      <c r="E15" s="23">
        <f>MAX(E4:E12)</f>
        <v>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</sheetData>
  <mergeCells count="1">
    <mergeCell ref="A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"/>
  <sheetViews>
    <sheetView tabSelected="1" workbookViewId="0">
      <selection activeCell="B18" sqref="B18"/>
    </sheetView>
  </sheetViews>
  <sheetFormatPr baseColWidth="10" defaultColWidth="8.796875" defaultRowHeight="13.8"/>
  <cols>
    <col min="1" max="1" width="32" customWidth="1"/>
    <col min="2" max="5" width="14" customWidth="1"/>
  </cols>
  <sheetData>
    <row r="1" spans="1:26" ht="27.15" customHeight="1">
      <c r="A1" s="29" t="s">
        <v>27</v>
      </c>
      <c r="B1" s="29" t="s">
        <v>27</v>
      </c>
      <c r="C1" s="29" t="s">
        <v>27</v>
      </c>
      <c r="D1" s="29" t="s">
        <v>27</v>
      </c>
      <c r="E1" s="29" t="s">
        <v>27</v>
      </c>
      <c r="F1" s="29" t="s">
        <v>27</v>
      </c>
      <c r="G1" s="29" t="s">
        <v>27</v>
      </c>
      <c r="H1" s="29" t="s">
        <v>27</v>
      </c>
      <c r="I1" s="29" t="s">
        <v>27</v>
      </c>
      <c r="J1" s="29" t="s">
        <v>27</v>
      </c>
      <c r="K1" s="29" t="s">
        <v>27</v>
      </c>
      <c r="L1" s="29" t="s">
        <v>27</v>
      </c>
      <c r="M1" s="29" t="s">
        <v>27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" t="s">
        <v>28</v>
      </c>
      <c r="B3" s="2" t="s">
        <v>18</v>
      </c>
      <c r="C3" s="2" t="s">
        <v>19</v>
      </c>
      <c r="D3" s="2" t="s">
        <v>20</v>
      </c>
      <c r="E3" s="2" t="s">
        <v>21</v>
      </c>
      <c r="F3" s="3"/>
      <c r="G3" s="3"/>
      <c r="H3" s="3"/>
      <c r="I3" s="3"/>
      <c r="J3" s="3"/>
      <c r="K3" s="3"/>
      <c r="L3" s="3"/>
      <c r="M3" s="3"/>
      <c r="N3" s="3" t="s">
        <v>29</v>
      </c>
      <c r="O3" s="3" t="s">
        <v>30</v>
      </c>
      <c r="P3" s="3"/>
      <c r="Q3" s="3" t="s">
        <v>29</v>
      </c>
      <c r="R3" s="3" t="s">
        <v>31</v>
      </c>
      <c r="S3" s="3"/>
      <c r="T3" s="3"/>
      <c r="U3" s="3"/>
      <c r="V3" s="3"/>
      <c r="W3" s="3"/>
      <c r="X3" s="3"/>
      <c r="Y3" s="3"/>
      <c r="Z3" s="3"/>
    </row>
    <row r="4" spans="1:26">
      <c r="A4" s="4" t="s">
        <v>32</v>
      </c>
      <c r="B4" s="19">
        <f>COUNT('Rohdaten Creme'!$B$4:$B$23)</f>
        <v>20</v>
      </c>
      <c r="C4" s="19">
        <f>COUNT('Rohdaten Creme'!$C$4:$C$23)</f>
        <v>20</v>
      </c>
      <c r="D4" s="19">
        <f>COUNT('Rohdaten Creme'!$D$4:$D$23)</f>
        <v>20</v>
      </c>
      <c r="E4" s="5">
        <f>COUNT('Rohdaten Creme'!$E$4:$E$23)</f>
        <v>20</v>
      </c>
      <c r="F4" s="3"/>
      <c r="G4" s="3"/>
      <c r="H4" s="3"/>
      <c r="I4" s="3"/>
      <c r="J4" s="3"/>
      <c r="K4" s="3"/>
      <c r="L4" s="3"/>
      <c r="M4" s="3"/>
      <c r="N4" s="3" t="s">
        <v>18</v>
      </c>
      <c r="O4" s="3">
        <f>B7</f>
        <v>5.35</v>
      </c>
      <c r="P4" s="3"/>
      <c r="Q4" s="3" t="s">
        <v>18</v>
      </c>
      <c r="R4" s="3" t="e">
        <f ca="1">B9</f>
        <v>#NAME?</v>
      </c>
      <c r="S4" s="3"/>
      <c r="T4" s="3"/>
      <c r="U4" s="3"/>
      <c r="V4" s="3"/>
      <c r="W4" s="3"/>
      <c r="X4" s="3"/>
      <c r="Y4" s="3"/>
      <c r="Z4" s="3"/>
    </row>
    <row r="5" spans="1:26">
      <c r="A5" s="6" t="s">
        <v>33</v>
      </c>
      <c r="B5" s="1" t="e">
        <f ca="1">_xludf.MODE.SNGL('Rohdaten Creme'!$B$4:$B$23)</f>
        <v>#NAME?</v>
      </c>
      <c r="C5" s="1" t="e">
        <f ca="1">_xludf.MODE.SNGL('Rohdaten Creme'!$C$4:$C$23)</f>
        <v>#NAME?</v>
      </c>
      <c r="D5" s="1" t="e">
        <f ca="1">_xludf.MODE.SNGL('Rohdaten Creme'!$D$4:$D$23)</f>
        <v>#NAME?</v>
      </c>
      <c r="E5" s="7" t="e">
        <f ca="1">_xludf.MODE.SNGL('Rohdaten Creme'!$E$4:$E$23)</f>
        <v>#NAME?</v>
      </c>
      <c r="F5" s="3"/>
      <c r="G5" s="3"/>
      <c r="H5" s="3"/>
      <c r="I5" s="3"/>
      <c r="J5" s="3"/>
      <c r="K5" s="3"/>
      <c r="L5" s="3"/>
      <c r="M5" s="3"/>
      <c r="N5" s="3" t="s">
        <v>19</v>
      </c>
      <c r="O5" s="3">
        <f>C7</f>
        <v>4.5</v>
      </c>
      <c r="P5" s="3"/>
      <c r="Q5" s="3" t="s">
        <v>19</v>
      </c>
      <c r="R5" s="3" t="e">
        <f ca="1">C9</f>
        <v>#NAME?</v>
      </c>
      <c r="S5" s="3"/>
      <c r="T5" s="3"/>
      <c r="U5" s="3"/>
      <c r="V5" s="3"/>
      <c r="W5" s="3"/>
      <c r="X5" s="3"/>
      <c r="Y5" s="3"/>
      <c r="Z5" s="3"/>
    </row>
    <row r="6" spans="1:26">
      <c r="A6" s="6" t="s">
        <v>34</v>
      </c>
      <c r="B6" s="1">
        <f>MEDIAN('Rohdaten Creme'!$B$4:$B$23)</f>
        <v>6</v>
      </c>
      <c r="C6" s="1">
        <f>MEDIAN('Rohdaten Creme'!$C$4:$C$23)</f>
        <v>3.5</v>
      </c>
      <c r="D6" s="1">
        <f>MEDIAN('Rohdaten Creme'!$D$4:$D$23)</f>
        <v>7</v>
      </c>
      <c r="E6" s="7">
        <f>MEDIAN('Rohdaten Creme'!$E$4:$E$23)</f>
        <v>2</v>
      </c>
      <c r="F6" s="3"/>
      <c r="G6" s="3"/>
      <c r="H6" s="3"/>
      <c r="I6" s="3"/>
      <c r="J6" s="3"/>
      <c r="K6" s="3"/>
      <c r="L6" s="3"/>
      <c r="M6" s="3"/>
      <c r="N6" s="3" t="s">
        <v>20</v>
      </c>
      <c r="O6" s="3">
        <f>D7</f>
        <v>6.1</v>
      </c>
      <c r="P6" s="3"/>
      <c r="Q6" s="3" t="s">
        <v>20</v>
      </c>
      <c r="R6" s="3" t="e">
        <f ca="1">D9</f>
        <v>#NAME?</v>
      </c>
      <c r="S6" s="3"/>
      <c r="T6" s="3"/>
      <c r="U6" s="3"/>
      <c r="V6" s="3"/>
      <c r="W6" s="3"/>
      <c r="X6" s="3"/>
      <c r="Y6" s="3"/>
      <c r="Z6" s="3"/>
    </row>
    <row r="7" spans="1:26">
      <c r="A7" s="6" t="s">
        <v>35</v>
      </c>
      <c r="B7" s="24">
        <f>AVERAGE('Rohdaten Creme'!$B$4:$B$23)</f>
        <v>5.35</v>
      </c>
      <c r="C7" s="24">
        <f>AVERAGE('Rohdaten Creme'!$C$4:$C$23)</f>
        <v>4.5</v>
      </c>
      <c r="D7" s="24">
        <f>AVERAGE('Rohdaten Creme'!$D$4:$D$23)</f>
        <v>6.1</v>
      </c>
      <c r="E7" s="25">
        <f>AVERAGE('Rohdaten Creme'!$E$4:$E$23)</f>
        <v>2.35</v>
      </c>
      <c r="F7" s="3"/>
      <c r="G7" s="3"/>
      <c r="H7" s="3"/>
      <c r="I7" s="3"/>
      <c r="J7" s="3"/>
      <c r="K7" s="3"/>
      <c r="L7" s="3"/>
      <c r="M7" s="3"/>
      <c r="N7" s="3" t="s">
        <v>21</v>
      </c>
      <c r="O7" s="3">
        <f>E7</f>
        <v>2.35</v>
      </c>
      <c r="P7" s="3"/>
      <c r="Q7" s="3" t="s">
        <v>21</v>
      </c>
      <c r="R7" s="3" t="e">
        <f ca="1">E9</f>
        <v>#NAME?</v>
      </c>
      <c r="S7" s="3"/>
      <c r="T7" s="3"/>
      <c r="U7" s="3"/>
      <c r="V7" s="3"/>
      <c r="W7" s="3"/>
      <c r="X7" s="3"/>
      <c r="Y7" s="3"/>
      <c r="Z7" s="3"/>
    </row>
    <row r="8" spans="1:26">
      <c r="A8" s="6" t="s">
        <v>36</v>
      </c>
      <c r="B8" s="24" t="e">
        <f ca="1">_xludf.VAR.S('Rohdaten Creme'!$B$4:$B$23)</f>
        <v>#NAME?</v>
      </c>
      <c r="C8" s="24" t="e">
        <f ca="1">_xludf.VAR.S('Rohdaten Creme'!$C$4:$C$23)</f>
        <v>#NAME?</v>
      </c>
      <c r="D8" s="24" t="e">
        <f ca="1">_xludf.VAR.S('Rohdaten Creme'!$D$4:$D$23)</f>
        <v>#NAME?</v>
      </c>
      <c r="E8" s="25" t="e">
        <f ca="1">_xludf.VAR.S('Rohdaten Creme'!$E$4:$E$23)</f>
        <v>#NAME?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6" t="s">
        <v>37</v>
      </c>
      <c r="B9" s="24" t="e">
        <f ca="1">_xludf.STDEV.S('Rohdaten Creme'!$B$4:$B$23)</f>
        <v>#NAME?</v>
      </c>
      <c r="C9" s="24" t="e">
        <f ca="1">_xludf.STDEV.S('Rohdaten Creme'!$C$4:$C$23)</f>
        <v>#NAME?</v>
      </c>
      <c r="D9" s="24" t="e">
        <f ca="1">_xludf.STDEV.S('Rohdaten Creme'!$D$4:$D$23)</f>
        <v>#NAME?</v>
      </c>
      <c r="E9" s="25" t="e">
        <f ca="1">_xludf.STDEV.S('Rohdaten Creme'!$E$4:$E$23)</f>
        <v>#NAME?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6" t="s">
        <v>38</v>
      </c>
      <c r="B10" s="1">
        <f>MIN('Rohdaten Creme'!$B$4:$B$23)</f>
        <v>1</v>
      </c>
      <c r="C10" s="1">
        <f>MIN('Rohdaten Creme'!$C$4:$C$23)</f>
        <v>1</v>
      </c>
      <c r="D10" s="1">
        <f>MIN('Rohdaten Creme'!$D$4:$D$23)</f>
        <v>2</v>
      </c>
      <c r="E10" s="7">
        <f>MIN('Rohdaten Creme'!$E$4:$E$23)</f>
        <v>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8" t="s">
        <v>39</v>
      </c>
      <c r="B11" s="20">
        <f>MAX('Rohdaten Creme'!$B$4:$B$23)</f>
        <v>9</v>
      </c>
      <c r="C11" s="20">
        <f>MAX('Rohdaten Creme'!$C$4:$C$23)</f>
        <v>9</v>
      </c>
      <c r="D11" s="20">
        <f>MAX('Rohdaten Creme'!$D$4:$D$23)</f>
        <v>9</v>
      </c>
      <c r="E11" s="9">
        <f>MAX('Rohdaten Creme'!$E$4:$E$23)</f>
        <v>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3" t="s">
        <v>40</v>
      </c>
      <c r="B13" s="33"/>
      <c r="C13" s="33"/>
      <c r="D13" s="33"/>
      <c r="E13" s="3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3"/>
      <c r="B14" s="33"/>
      <c r="C14" s="33"/>
      <c r="D14" s="33"/>
      <c r="E14" s="3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</sheetData>
  <mergeCells count="2">
    <mergeCell ref="A1:M1"/>
    <mergeCell ref="A13:E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0"/>
  <sheetViews>
    <sheetView workbookViewId="0">
      <selection sqref="A1:H1"/>
    </sheetView>
  </sheetViews>
  <sheetFormatPr baseColWidth="10" defaultColWidth="8.796875" defaultRowHeight="13.8"/>
  <cols>
    <col min="1" max="1" width="20" customWidth="1"/>
    <col min="2" max="2" width="22" customWidth="1"/>
    <col min="3" max="3" width="20" customWidth="1"/>
    <col min="4" max="5" width="16" customWidth="1"/>
    <col min="6" max="6" width="22" customWidth="1"/>
  </cols>
  <sheetData>
    <row r="1" spans="1:26" ht="27.15" customHeight="1">
      <c r="A1" s="29" t="s">
        <v>41</v>
      </c>
      <c r="B1" s="29" t="s">
        <v>41</v>
      </c>
      <c r="C1" s="29" t="s">
        <v>41</v>
      </c>
      <c r="D1" s="29" t="s">
        <v>41</v>
      </c>
      <c r="E1" s="29" t="s">
        <v>41</v>
      </c>
      <c r="F1" s="29" t="s">
        <v>41</v>
      </c>
      <c r="G1" s="29" t="s">
        <v>41</v>
      </c>
      <c r="H1" s="29" t="s">
        <v>41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48</v>
      </c>
      <c r="B4" s="19" t="s">
        <v>49</v>
      </c>
      <c r="C4" s="19" t="s">
        <v>50</v>
      </c>
      <c r="D4" s="26">
        <v>0.46129999999999999</v>
      </c>
      <c r="E4" s="19" t="s">
        <v>51</v>
      </c>
      <c r="F4" s="5" t="s">
        <v>52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6" t="s">
        <v>53</v>
      </c>
      <c r="B5" s="1" t="s">
        <v>49</v>
      </c>
      <c r="C5" s="1" t="s">
        <v>50</v>
      </c>
      <c r="D5" s="27">
        <v>0.23380000000000001</v>
      </c>
      <c r="E5" s="1" t="s">
        <v>51</v>
      </c>
      <c r="F5" s="7" t="s">
        <v>52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6" t="s">
        <v>54</v>
      </c>
      <c r="B6" s="1" t="s">
        <v>49</v>
      </c>
      <c r="C6" s="1" t="s">
        <v>50</v>
      </c>
      <c r="D6" s="27">
        <v>5.8999999999999998E-5</v>
      </c>
      <c r="E6" s="1" t="s">
        <v>55</v>
      </c>
      <c r="F6" s="7" t="s">
        <v>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6" t="s">
        <v>57</v>
      </c>
      <c r="B7" s="1" t="s">
        <v>49</v>
      </c>
      <c r="C7" s="1" t="s">
        <v>50</v>
      </c>
      <c r="D7" s="27">
        <v>7.3599999999999999E-2</v>
      </c>
      <c r="E7" s="1" t="s">
        <v>51</v>
      </c>
      <c r="F7" s="7" t="s">
        <v>52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6" t="s">
        <v>58</v>
      </c>
      <c r="B8" s="1" t="s">
        <v>49</v>
      </c>
      <c r="C8" s="1" t="s">
        <v>50</v>
      </c>
      <c r="D8" s="27">
        <v>1.9999999999999999E-6</v>
      </c>
      <c r="E8" s="1" t="s">
        <v>55</v>
      </c>
      <c r="F8" s="7" t="s">
        <v>56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6" t="s">
        <v>48</v>
      </c>
      <c r="B9" s="1" t="s">
        <v>59</v>
      </c>
      <c r="C9" s="1" t="s">
        <v>60</v>
      </c>
      <c r="D9" s="27">
        <v>0.34229999999999999</v>
      </c>
      <c r="E9" s="1" t="s">
        <v>51</v>
      </c>
      <c r="F9" s="7" t="s">
        <v>52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8" t="s">
        <v>54</v>
      </c>
      <c r="B10" s="20" t="s">
        <v>59</v>
      </c>
      <c r="C10" s="20" t="s">
        <v>60</v>
      </c>
      <c r="D10" s="28">
        <v>4.0999999999999999E-4</v>
      </c>
      <c r="E10" s="20" t="s">
        <v>55</v>
      </c>
      <c r="F10" s="9" t="s">
        <v>56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1" t="s">
        <v>61</v>
      </c>
      <c r="B12" s="31"/>
      <c r="C12" s="31"/>
      <c r="D12" s="31"/>
      <c r="E12" s="31"/>
      <c r="F12" s="3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1"/>
      <c r="B13" s="31"/>
      <c r="C13" s="31"/>
      <c r="D13" s="31"/>
      <c r="E13" s="31"/>
      <c r="F13" s="3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1"/>
      <c r="B14" s="31"/>
      <c r="C14" s="31"/>
      <c r="D14" s="31"/>
      <c r="E14" s="31"/>
      <c r="F14" s="3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</sheetData>
  <mergeCells count="2">
    <mergeCell ref="A1:H1"/>
    <mergeCell ref="A12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0"/>
  <sheetViews>
    <sheetView workbookViewId="0">
      <selection sqref="A1:J1"/>
    </sheetView>
  </sheetViews>
  <sheetFormatPr baseColWidth="10" defaultColWidth="8.796875" defaultRowHeight="13.8"/>
  <cols>
    <col min="1" max="1" width="8" customWidth="1"/>
    <col min="2" max="3" width="20" customWidth="1"/>
    <col min="4" max="4" width="12" customWidth="1"/>
    <col min="5" max="5" width="24" customWidth="1"/>
    <col min="6" max="6" width="3" customWidth="1"/>
    <col min="7" max="7" width="27" customWidth="1"/>
    <col min="8" max="9" width="14" customWidth="1"/>
    <col min="10" max="10" width="28" customWidth="1"/>
  </cols>
  <sheetData>
    <row r="1" spans="1:26" ht="27.15" customHeight="1">
      <c r="A1" s="29" t="s">
        <v>62</v>
      </c>
      <c r="B1" s="29" t="s">
        <v>62</v>
      </c>
      <c r="C1" s="29" t="s">
        <v>62</v>
      </c>
      <c r="D1" s="29" t="s">
        <v>62</v>
      </c>
      <c r="E1" s="29" t="s">
        <v>62</v>
      </c>
      <c r="F1" s="29" t="s">
        <v>62</v>
      </c>
      <c r="G1" s="29" t="s">
        <v>62</v>
      </c>
      <c r="H1" s="29" t="s">
        <v>62</v>
      </c>
      <c r="I1" s="29" t="s">
        <v>62</v>
      </c>
      <c r="J1" s="29" t="s">
        <v>62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3"/>
      <c r="G3" s="2" t="s">
        <v>28</v>
      </c>
      <c r="H3" s="2" t="s">
        <v>68</v>
      </c>
      <c r="I3" s="2" t="s">
        <v>69</v>
      </c>
      <c r="J3" s="2" t="s">
        <v>22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>
        <v>1</v>
      </c>
      <c r="B4" s="19"/>
      <c r="C4" s="19"/>
      <c r="D4" s="19"/>
      <c r="E4" s="5"/>
      <c r="F4" s="3"/>
      <c r="G4" s="4" t="s">
        <v>32</v>
      </c>
      <c r="H4" s="19" t="str">
        <f>IF(COUNT($B$4:$B$33)=0,"",COUNT($B$4:$B$33))</f>
        <v/>
      </c>
      <c r="I4" s="19" t="str">
        <f>IF(COUNT($C$4:$C$33)=0,"",COUNT($C$4:$C$33))</f>
        <v/>
      </c>
      <c r="J4" s="5" t="s">
        <v>70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6">
        <v>2</v>
      </c>
      <c r="B5" s="1"/>
      <c r="C5" s="1"/>
      <c r="D5" s="1"/>
      <c r="E5" s="7"/>
      <c r="F5" s="3"/>
      <c r="G5" s="6" t="s">
        <v>71</v>
      </c>
      <c r="H5" s="1" t="str">
        <f>IF(COUNT($B$4:$B$33)=0,"",_xludf.MODE.SNGL($B$4:$B$33))</f>
        <v/>
      </c>
      <c r="I5" s="1" t="str">
        <f>IF(COUNT($C$4:$C$33)=0,"",_xludf.MODE.SNGL($C$4:$C$33))</f>
        <v/>
      </c>
      <c r="J5" s="7" t="s">
        <v>72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6">
        <v>3</v>
      </c>
      <c r="B6" s="1"/>
      <c r="C6" s="1"/>
      <c r="D6" s="1"/>
      <c r="E6" s="7"/>
      <c r="F6" s="3"/>
      <c r="G6" s="6" t="s">
        <v>34</v>
      </c>
      <c r="H6" s="1" t="str">
        <f>IF(COUNT($B$4:$B$33)=0,"",MEDIAN($B$4:$B$33))</f>
        <v/>
      </c>
      <c r="I6" s="1" t="str">
        <f>IF(COUNT($C$4:$C$33)=0,"",MEDIAN($C$4:$C$33))</f>
        <v/>
      </c>
      <c r="J6" s="7" t="s">
        <v>73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6">
        <v>4</v>
      </c>
      <c r="B7" s="1"/>
      <c r="C7" s="1"/>
      <c r="D7" s="1"/>
      <c r="E7" s="7"/>
      <c r="F7" s="3"/>
      <c r="G7" s="6" t="s">
        <v>30</v>
      </c>
      <c r="H7" s="24" t="str">
        <f>IF(COUNT($B$4:$B$33)=0,"",AVERAGE($B$4:$B$33))</f>
        <v/>
      </c>
      <c r="I7" s="24" t="str">
        <f>IF(COUNT($C$4:$C$33)=0,"",AVERAGE($C$4:$C$33))</f>
        <v/>
      </c>
      <c r="J7" s="7" t="s">
        <v>74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6">
        <v>5</v>
      </c>
      <c r="B8" s="1"/>
      <c r="C8" s="1"/>
      <c r="D8" s="1"/>
      <c r="E8" s="7"/>
      <c r="F8" s="3"/>
      <c r="G8" s="6" t="s">
        <v>75</v>
      </c>
      <c r="H8" s="24" t="str">
        <f>IF(COUNT($B$4:$B$33)=0,"",_xludf.VAR.S($B$4:$B$33))</f>
        <v/>
      </c>
      <c r="I8" s="24" t="str">
        <f>IF(COUNT($C$4:$C$33)=0,"",_xludf.VAR.S($C$4:$C$33))</f>
        <v/>
      </c>
      <c r="J8" s="7" t="s">
        <v>76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6">
        <v>6</v>
      </c>
      <c r="B9" s="1"/>
      <c r="C9" s="1"/>
      <c r="D9" s="1"/>
      <c r="E9" s="7"/>
      <c r="F9" s="3"/>
      <c r="G9" s="6" t="s">
        <v>31</v>
      </c>
      <c r="H9" s="24" t="str">
        <f>IF(COUNT($B$4:$B$33)=0,"",_xludf.STDEV.S($B$4:$B$33))</f>
        <v/>
      </c>
      <c r="I9" s="24" t="str">
        <f>IF(COUNT($C$4:$C$33)=0,"",_xludf.STDEV.S($C$4:$C$33))</f>
        <v/>
      </c>
      <c r="J9" s="7" t="s">
        <v>77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6">
        <v>7</v>
      </c>
      <c r="B10" s="1"/>
      <c r="C10" s="1"/>
      <c r="D10" s="1"/>
      <c r="E10" s="7"/>
      <c r="F10" s="3"/>
      <c r="G10" s="8" t="s">
        <v>78</v>
      </c>
      <c r="H10" s="20" t="str">
        <f>IF(COUNT($B$4:$B$33)=0,"",MAX($B$4:$B$33)-MIN($B$4:$B$33))</f>
        <v/>
      </c>
      <c r="I10" s="20" t="str">
        <f>IF(COUNT($C$4:$C$33)=0,"",MAX($C$4:$C$33)-MIN($C$4:$C$33))</f>
        <v/>
      </c>
      <c r="J10" s="9" t="s">
        <v>79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6">
        <v>8</v>
      </c>
      <c r="B11" s="1"/>
      <c r="C11" s="1"/>
      <c r="D11" s="1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6">
        <v>9</v>
      </c>
      <c r="B12" s="1"/>
      <c r="C12" s="1"/>
      <c r="D12" s="1"/>
      <c r="E12" s="7"/>
      <c r="F12" s="3"/>
      <c r="G12" s="31" t="s">
        <v>80</v>
      </c>
      <c r="H12" s="31"/>
      <c r="I12" s="31"/>
      <c r="J12" s="3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6">
        <v>10</v>
      </c>
      <c r="B13" s="1"/>
      <c r="C13" s="1"/>
      <c r="D13" s="1"/>
      <c r="E13" s="7"/>
      <c r="F13" s="3"/>
      <c r="G13" s="31"/>
      <c r="H13" s="31"/>
      <c r="I13" s="31"/>
      <c r="J13" s="3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6">
        <v>11</v>
      </c>
      <c r="B14" s="1"/>
      <c r="C14" s="1"/>
      <c r="D14" s="1"/>
      <c r="E14" s="7"/>
      <c r="F14" s="3"/>
      <c r="G14" s="31"/>
      <c r="H14" s="31"/>
      <c r="I14" s="31"/>
      <c r="J14" s="3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6">
        <v>12</v>
      </c>
      <c r="B15" s="1"/>
      <c r="C15" s="1"/>
      <c r="D15" s="1"/>
      <c r="E15" s="7"/>
      <c r="F15" s="3"/>
      <c r="G15" s="31"/>
      <c r="H15" s="31"/>
      <c r="I15" s="31"/>
      <c r="J15" s="3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6">
        <v>13</v>
      </c>
      <c r="B16" s="1"/>
      <c r="C16" s="1"/>
      <c r="D16" s="1"/>
      <c r="E16" s="7"/>
      <c r="F16" s="3"/>
      <c r="G16" s="31"/>
      <c r="H16" s="31"/>
      <c r="I16" s="31"/>
      <c r="J16" s="3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6">
        <v>14</v>
      </c>
      <c r="B17" s="1"/>
      <c r="C17" s="1"/>
      <c r="D17" s="1"/>
      <c r="E17" s="7"/>
      <c r="F17" s="3"/>
      <c r="G17" s="31"/>
      <c r="H17" s="31"/>
      <c r="I17" s="31"/>
      <c r="J17" s="3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6">
        <v>15</v>
      </c>
      <c r="B18" s="1"/>
      <c r="C18" s="1"/>
      <c r="D18" s="1"/>
      <c r="E18" s="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6">
        <v>16</v>
      </c>
      <c r="B19" s="1"/>
      <c r="C19" s="1"/>
      <c r="D19" s="1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6">
        <v>17</v>
      </c>
      <c r="B20" s="1"/>
      <c r="C20" s="1"/>
      <c r="D20" s="1"/>
      <c r="E20" s="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6">
        <v>18</v>
      </c>
      <c r="B21" s="1"/>
      <c r="C21" s="1"/>
      <c r="D21" s="1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6">
        <v>19</v>
      </c>
      <c r="B22" s="1"/>
      <c r="C22" s="1"/>
      <c r="D22" s="1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6">
        <v>20</v>
      </c>
      <c r="B23" s="1"/>
      <c r="C23" s="1"/>
      <c r="D23" s="1"/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6">
        <v>21</v>
      </c>
      <c r="B24" s="1"/>
      <c r="C24" s="1"/>
      <c r="D24" s="1"/>
      <c r="E24" s="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6">
        <v>22</v>
      </c>
      <c r="B25" s="1"/>
      <c r="C25" s="1"/>
      <c r="D25" s="1"/>
      <c r="E25" s="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6">
        <v>23</v>
      </c>
      <c r="B26" s="1"/>
      <c r="C26" s="1"/>
      <c r="D26" s="1"/>
      <c r="E26" s="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6">
        <v>24</v>
      </c>
      <c r="B27" s="1"/>
      <c r="C27" s="1"/>
      <c r="D27" s="1"/>
      <c r="E27" s="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6">
        <v>25</v>
      </c>
      <c r="B28" s="1"/>
      <c r="C28" s="1"/>
      <c r="D28" s="1"/>
      <c r="E28" s="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6">
        <v>26</v>
      </c>
      <c r="B29" s="1"/>
      <c r="C29" s="1"/>
      <c r="D29" s="1"/>
      <c r="E29" s="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6">
        <v>27</v>
      </c>
      <c r="B30" s="1"/>
      <c r="C30" s="1"/>
      <c r="D30" s="1"/>
      <c r="E30" s="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6">
        <v>28</v>
      </c>
      <c r="B31" s="1"/>
      <c r="C31" s="1"/>
      <c r="D31" s="1"/>
      <c r="E31" s="7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6">
        <v>29</v>
      </c>
      <c r="B32" s="1"/>
      <c r="C32" s="1"/>
      <c r="D32" s="1"/>
      <c r="E32" s="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8">
        <v>30</v>
      </c>
      <c r="B33" s="20"/>
      <c r="C33" s="20"/>
      <c r="D33" s="20"/>
      <c r="E33" s="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</sheetData>
  <mergeCells count="2">
    <mergeCell ref="A1:J1"/>
    <mergeCell ref="G12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Anleitung</vt:lpstr>
      <vt:lpstr>Rohdaten Creme</vt:lpstr>
      <vt:lpstr>Häufigkeiten</vt:lpstr>
      <vt:lpstr>Kennwerte</vt:lpstr>
      <vt:lpstr>Signifikanz</vt:lpstr>
      <vt:lpstr>Eigene 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Ehm Sebastian</cp:lastModifiedBy>
  <dcterms:modified xsi:type="dcterms:W3CDTF">2026-09-08T11:54:58Z</dcterms:modified>
</cp:coreProperties>
</file>